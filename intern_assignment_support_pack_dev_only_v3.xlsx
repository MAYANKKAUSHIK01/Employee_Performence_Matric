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comments1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4ef0edde8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94a396d2ad1d49f8"/>
    <x:sheet xmlns:r="http://schemas.openxmlformats.org/officeDocument/2006/relationships" name="Developer_Productivity_Brief" sheetId="2" r:id="R3df3d8112e0e42c5"/>
    <x:sheet xmlns:r="http://schemas.openxmlformats.org/officeDocument/2006/relationships" name="Assignment_Steps" sheetId="3" r:id="Re0c675e709904136"/>
    <x:sheet xmlns:r="http://schemas.openxmlformats.org/officeDocument/2006/relationships" name="AI_Guide" sheetId="4" r:id="R6fd5ac223b384f44"/>
    <x:sheet xmlns:r="http://schemas.openxmlformats.org/officeDocument/2006/relationships" name="Submission_Checklist" sheetId="5" r:id="R12d1d05df9164bed"/>
    <x:sheet xmlns:r="http://schemas.openxmlformats.org/officeDocument/2006/relationships" name="Data_Model_Overview" sheetId="6" r:id="R54b595a914bb406c"/>
    <x:sheet xmlns:r="http://schemas.openxmlformats.org/officeDocument/2006/relationships" name="Data_Dictionary" sheetId="7" r:id="R1741e15d74ea41e0"/>
    <x:sheet xmlns:r="http://schemas.openxmlformats.org/officeDocument/2006/relationships" name="Dim_Developers" sheetId="8" r:id="R3b8d4308d2b34581"/>
    <x:sheet xmlns:r="http://schemas.openxmlformats.org/officeDocument/2006/relationships" name="Fact_Jira_Issues" sheetId="9" r:id="Rbf1d23cdf89e4e73"/>
    <x:sheet xmlns:r="http://schemas.openxmlformats.org/officeDocument/2006/relationships" name="Fact_Pull_Requests" sheetId="10" r:id="R061ff73de0af401d"/>
    <x:sheet xmlns:r="http://schemas.openxmlformats.org/officeDocument/2006/relationships" name="Fact_CI_Deployments" sheetId="11" r:id="Rda0e4a52a8f74e83"/>
    <x:sheet xmlns:r="http://schemas.openxmlformats.org/officeDocument/2006/relationships" name="Fact_Bug_Reports" sheetId="12" r:id="Rdf7cca8b314f4f03"/>
    <x:sheet xmlns:r="http://schemas.openxmlformats.org/officeDocument/2006/relationships" name="Metric_Examples" sheetId="13" r:id="Rba12b91af50440eb"/>
    <x:sheet xmlns:r="http://schemas.openxmlformats.org/officeDocument/2006/relationships" name="IC_Sample_View" sheetId="14" r:id="R22d9f8a7c53b4867"/>
    <x:sheet xmlns:r="http://schemas.openxmlformats.org/officeDocument/2006/relationships" name="Manager_Sample_View" sheetId="15" r:id="R5715234e2ac44b55"/>
    <x:sheet xmlns:r="http://schemas.openxmlformats.org/officeDocument/2006/relationships" name="Rubric" sheetId="16" r:id="R7079f1d40b50421e"/>
    <x:sheet xmlns:r="http://schemas.openxmlformats.org/officeDocument/2006/relationships" name="Reviewer_Scorecard" sheetId="17" r:id="R9ccb22d8adff4bf1"/>
    <x:sheet xmlns:r="http://schemas.openxmlformats.org/officeDocument/2006/relationships" name="Reviewer_Guide" sheetId="18" r:id="R713a3424cc8342ea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K12" authorId="0">
      <x:text>
        <x:r>
          <x:t>Lead time is simplified for this assignment as PR opened_at to successful production deployment completed_at.</x:t>
        </x:r>
      </x:text>
    </x:comment>
    <x:comment ref="L12" authorId="0">
      <x:text>
        <x:r>
          <x:t>Bug rate = escaped production bugs found in the month / issues completed in the month.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h:mm"/>
    <x:numFmt numFmtId="165" formatCode="0.0"/>
    <x:numFmt numFmtId="166" formatCode="0.0%"/>
  </x:numFmts>
  <x:fonts count="6">
    <x:font>
      <x:sz val="11"/>
      <x:color theme="1"/>
      <x:name val="Calibri"/>
      <x:family val="2"/>
      <x:scheme val="minor"/>
    </x:font>
    <x:font>
      <x:b/>
      <x:sz val="16"/>
      <x:color rgb="001F4E78"/>
    </x:font>
    <x:font>
      <x:i/>
      <x:sz val="10"/>
      <x:color rgb="00666666"/>
    </x:font>
    <x:font>
      <x:b/>
      <x:sz val="11"/>
      <x:color rgb="00FFFFFF"/>
    </x:font>
    <x:font>
      <x:b/>
      <x:sz val="13"/>
      <x:color rgb="001F4E78"/>
    </x:font>
    <x:font>
      <x:b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F2F2F2"/>
      </x:patternFill>
    </x:fill>
    <x:fill>
      <x:patternFill patternType="solid">
        <x:fgColor rgb="00F5FAF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2" fillId="0" borderId="0" xfId="0" applyAlignment="1">
      <x:alignment wrapText="1"/>
    </x:xf>
    <x:xf numFmtId="0" fontId="3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4" fillId="0" borderId="0" xfId="0"/>
    <x:xf numFmtId="164" fontId="0" fillId="0" borderId="0" xfId="0" applyAlignment="1">
      <x:alignment vertical="top" wrapText="1"/>
    </x:xf>
    <x:xf numFmtId="165" fontId="0" fillId="0" borderId="0" xfId="0" applyAlignment="1">
      <x:alignment vertical="top" wrapText="1"/>
    </x:xf>
    <x:xf numFmtId="166" fontId="0" fillId="0" borderId="0" xfId="0" applyAlignment="1">
      <x:alignment vertical="top" wrapText="1"/>
    </x:xf>
    <x:xf numFmtId="0" fontId="5" fillId="3" borderId="0" xfId="0"/>
    <x:xf numFmtId="0" fontId="0" fillId="4" borderId="0" xfId="0"/>
    <x:xf numFmtId="0" fontId="5" fillId="5" borderId="0" xfId="0" applyAlignment="1">
      <x:alignment wrapText="1"/>
    </x:xf>
    <x:xf numFmtId="0" fontId="0" fillId="6" borderId="0" xfId="0" applyAlignment="1">
      <x:alignment wrapText="1"/>
    </x:xf>
    <x:xf numFmtId="165" fontId="0" fillId="6" borderId="0" xfId="0" applyAlignment="1">
      <x:alignment wrapText="1"/>
    </x:xf>
    <x:xf numFmtId="166" fontId="0" fillId="6" borderId="0" xfId="0" applyAlignment="1">
      <x:alignment wrapText="1"/>
    </x:xf>
    <x:xf numFmtId="0" fontId="5" fillId="0" borderId="0" xfId="0"/>
    <x:xf numFmtId="9" fontId="0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65" fontId="0" fillId="0" borderId="0" xfId="0" applyAlignment="1">
      <x:alignment vertical="top" wrapText="1"/>
    </x:xf>
    <x:xf numFmtId="166" fontId="0" fillId="0" borderId="0" xfId="0" applyAlignment="1">
      <x:alignment vertical="top" wrapText="1"/>
    </x:xf>
    <x:xf numFmtId="165" fontId="0" fillId="6" borderId="0" xfId="0" applyAlignment="1">
      <x:alignment wrapText="1"/>
    </x:xf>
    <x:xf numFmtId="166" fontId="0" fillId="6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e02e30f194ff2" /><Relationship Type="http://schemas.openxmlformats.org/officeDocument/2006/relationships/theme" Target="/xl/theme/theme1.xml" Id="Rfdd8e29c035b4e71" /><Relationship Type="http://schemas.openxmlformats.org/officeDocument/2006/relationships/sharedStrings" Target="/xl/sharedStrings.xml" Id="Rdcdf00a4afcd4273" /><Relationship Type="http://schemas.openxmlformats.org/officeDocument/2006/relationships/worksheet" Target="/xl/worksheets/sheet1.xml" Id="R94a396d2ad1d49f8" /><Relationship Type="http://schemas.openxmlformats.org/officeDocument/2006/relationships/worksheet" Target="/xl/worksheets/sheet2.xml" Id="R3df3d8112e0e42c5" /><Relationship Type="http://schemas.openxmlformats.org/officeDocument/2006/relationships/worksheet" Target="/xl/worksheets/sheet3.xml" Id="Re0c675e709904136" /><Relationship Type="http://schemas.openxmlformats.org/officeDocument/2006/relationships/worksheet" Target="/xl/worksheets/sheet4.xml" Id="R6fd5ac223b384f44" /><Relationship Type="http://schemas.openxmlformats.org/officeDocument/2006/relationships/worksheet" Target="/xl/worksheets/sheet5.xml" Id="R12d1d05df9164bed" /><Relationship Type="http://schemas.openxmlformats.org/officeDocument/2006/relationships/worksheet" Target="/xl/worksheets/sheet6.xml" Id="R54b595a914bb406c" /><Relationship Type="http://schemas.openxmlformats.org/officeDocument/2006/relationships/worksheet" Target="/xl/worksheets/sheet7.xml" Id="R1741e15d74ea41e0" /><Relationship Type="http://schemas.openxmlformats.org/officeDocument/2006/relationships/worksheet" Target="/xl/worksheets/sheet8.xml" Id="R3b8d4308d2b34581" /><Relationship Type="http://schemas.openxmlformats.org/officeDocument/2006/relationships/worksheet" Target="/xl/worksheets/sheet9.xml" Id="Rbf1d23cdf89e4e73" /><Relationship Type="http://schemas.openxmlformats.org/officeDocument/2006/relationships/worksheet" Target="/xl/worksheets/sheet10.xml" Id="R061ff73de0af401d" /><Relationship Type="http://schemas.openxmlformats.org/officeDocument/2006/relationships/worksheet" Target="/xl/worksheets/sheet11.xml" Id="Rda0e4a52a8f74e83" /><Relationship Type="http://schemas.openxmlformats.org/officeDocument/2006/relationships/worksheet" Target="/xl/worksheets/sheet12.xml" Id="Rdf7cca8b314f4f03" /><Relationship Type="http://schemas.openxmlformats.org/officeDocument/2006/relationships/worksheet" Target="/xl/worksheets/sheet13.xml" Id="Rba12b91af50440eb" /><Relationship Type="http://schemas.openxmlformats.org/officeDocument/2006/relationships/worksheet" Target="/xl/worksheets/sheet14.xml" Id="R22d9f8a7c53b4867" /><Relationship Type="http://schemas.openxmlformats.org/officeDocument/2006/relationships/worksheet" Target="/xl/worksheets/sheet15.xml" Id="R5715234e2ac44b55" /><Relationship Type="http://schemas.openxmlformats.org/officeDocument/2006/relationships/worksheet" Target="/xl/worksheets/sheet16.xml" Id="R7079f1d40b50421e" /><Relationship Type="http://schemas.openxmlformats.org/officeDocument/2006/relationships/worksheet" Target="/xl/worksheets/sheet17.xml" Id="R9ccb22d8adff4bf1" /><Relationship Type="http://schemas.openxmlformats.org/officeDocument/2006/relationships/worksheet" Target="/xl/worksheets/sheet18.xml" Id="R713a3424cc8342ea" /><Relationship Type="http://schemas.microsoft.com/office/2017/10/relationships/person" Target="/xl/persons/person.xml" Id="Rcc7bcb6f64254519" /></Relationships>
</file>

<file path=xl/persons/person.xml><?xml version="1.0" encoding="utf-8"?>
<xltc:personList xmlns:xltc="http://schemas.microsoft.com/office/spreadsheetml/2018/threadedcomments">
  <xltc:person displayName="OpenAI" id="{BFDBB030-E85E-E0F5-483F-403562127442}"/>
</xltc:personList>
</file>

<file path=xl/tables/table1.xml><?xml version="1.0" encoding="utf-8"?>
<x:table xmlns:x="http://schemas.openxmlformats.org/spreadsheetml/2006/main" id="1" name="T_Start" displayName="T_Start" ref="A3:C8" headerRowCount="1">
  <x:autoFilter ref="A3:C8"/>
  <x:tableColumns count="3">
    <x:tableColumn id="1" name="Item"/>
    <x:tableColumn id="2" name="Explanation"/>
    <x:tableColumn id="3" name="Why it matters"/>
  </x:tableColumns>
  <x:tableStyleInfo name="TableStyleMedium2" showRowStripes="1"/>
</x:table>
</file>

<file path=xl/tables/table2.xml><?xml version="1.0" encoding="utf-8"?>
<x:table xmlns:x="http://schemas.openxmlformats.org/spreadsheetml/2006/main" id="2" name="T_StartRead" displayName="T_StartRead" ref="A13:B18" headerRowCount="1">
  <x:autoFilter ref="A13:B18"/>
  <x:tableColumns count="2">
    <x:tableColumn id="1" name="Sheet"/>
    <x:tableColumn id="2" name="How to use it"/>
  </x:tableColumns>
  <x:tableStyleInfo name="TableStyleMedium2" showRowStripes="1"/>
</x:table>
</file>

<file path=xl/tables/table3.xml><?xml version="1.0" encoding="utf-8"?>
<x:table xmlns:x="http://schemas.openxmlformats.org/spreadsheetml/2006/main" id="3" name="T_Brief1" displayName="T_Brief1" ref="A3:C7" headerRowCount="1">
  <x:autoFilter ref="A3:C7"/>
  <x:tableColumns count="3">
    <x:tableColumn id="1" name="Topic"/>
    <x:tableColumn id="2" name="Plain-English explanation"/>
    <x:tableColumn id="3" name="Why it matters"/>
  </x:tableColumns>
  <x:tableStyleInfo name="TableStyleMedium2" showRowStripes="1"/>
</x:table>
</file>

<file path=xl/tables/table4.xml><?xml version="1.0" encoding="utf-8"?>
<x:table xmlns:x="http://schemas.openxmlformats.org/spreadsheetml/2006/main" id="4" name="T_Brief2" displayName="T_Brief2" ref="A12:D17" headerRowCount="1">
  <x:autoFilter ref="A12:D17"/>
  <x:tableColumns count="4">
    <x:tableColumn id="1" name="Metric"/>
    <x:tableColumn id="2" name="What it means in this workbook"/>
    <x:tableColumn id="3" name="Why a developer should care"/>
    <x:tableColumn id="4" name="Main source tables"/>
  </x:tableColumns>
  <x:tableStyleInfo name="TableStyleMedium2" showRowStripes="1"/>
</x:table>
</file>

<file path=xl/tables/table5.xml><?xml version="1.0" encoding="utf-8"?>
<x:table xmlns:x="http://schemas.openxmlformats.org/spreadsheetml/2006/main" id="5" name="T_Steps" displayName="T_Steps" ref="A3:C11" headerRowCount="1">
  <x:autoFilter ref="A3:C11"/>
  <x:tableColumns count="3">
    <x:tableColumn id="1" name="Step"/>
    <x:tableColumn id="2" name="What you should do"/>
    <x:tableColumn id="3" name="Expected output"/>
  </x:tableColumns>
  <x:tableStyleInfo name="TableStyleMedium2" showRowStripes="1"/>
</x:table>
</file>

<file path=xl/tables/table6.xml><?xml version="1.0" encoding="utf-8"?>
<x:table xmlns:x="http://schemas.openxmlformats.org/spreadsheetml/2006/main" id="6" name="T_AI1" displayName="T_AI1" ref="A3:B7" headerRowCount="1">
  <x:autoFilter ref="A3:B7"/>
  <x:tableColumns count="2">
    <x:tableColumn id="1" name="Category"/>
    <x:tableColumn id="2" name="Guidance"/>
  </x:tableColumns>
  <x:tableStyleInfo name="TableStyleMedium2" showRowStripes="1"/>
</x:table>
</file>

<file path=xl/tables/table7.xml><?xml version="1.0" encoding="utf-8"?>
<x:table xmlns:x="http://schemas.openxmlformats.org/spreadsheetml/2006/main" id="7" name="T_AI2" displayName="T_AI2" ref="A11:B16" headerRowCount="1">
  <x:autoFilter ref="A11:B16"/>
  <x:tableColumns count="2">
    <x:tableColumn id="1" name="Prompt label"/>
    <x:tableColumn id="2" name="Prompt"/>
  </x:tableColumns>
  <x:tableStyleInfo name="TableStyleMedium2" showRowStripes="1"/>
</x:table>
</file>

<file path=xl/tables/table8.xml><?xml version="1.0" encoding="utf-8"?>
<x:table xmlns:x="http://schemas.openxmlformats.org/spreadsheetml/2006/main" id="8" name="T_Check" displayName="T_Check" ref="A3:C10" headerRowCount="1">
  <x:autoFilter ref="A3:C10"/>
  <x:tableColumns count="3">
    <x:tableColumn id="1" name="Deliverable"/>
    <x:tableColumn id="2" name="Requirement"/>
    <x:tableColumn id="3" name="Required?"/>
  </x:tableColumns>
  <x:tableStyleInfo name="TableStyleMedium2" showRowStripes="1"/>
</x:table>
</file>

<file path=xl/tables/table9.xml><?xml version="1.0" encoding="utf-8"?>
<x:table xmlns:x="http://schemas.openxmlformats.org/spreadsheetml/2006/main" id="9" name="T_Overview" displayName="T_Overview" ref="A3:C9" headerRowCount="1">
  <x:autoFilter ref="A3:C9"/>
  <x:tableColumns count="3">
    <x:tableColumn id="1" name="Table"/>
    <x:tableColumn id="2" name="What it represents"/>
    <x:tableColumn id="3" name="Useful for"/>
  </x:tableColumns>
  <x:tableStyleInfo name="TableStyleMedium2" showRowStripes="1"/>
</x:table>
</file>

<file path=xl/tables/table10.xml><?xml version="1.0" encoding="utf-8"?>
<x:table xmlns:x="http://schemas.openxmlformats.org/spreadsheetml/2006/main" id="10" name="T_Dict" displayName="T_Dict" ref="A3:D16" headerRowCount="1">
  <x:autoFilter ref="A3:D16"/>
  <x:tableColumns count="4">
    <x:tableColumn id="1" name="Table"/>
    <x:tableColumn id="2" name="Field"/>
    <x:tableColumn id="3" name="Meaning"/>
    <x:tableColumn id="4" name="Common use"/>
  </x:tableColumns>
  <x:tableStyleInfo name="TableStyleMedium2" showRowStripes="1"/>
</x:table>
</file>

<file path=xl/tables/table11.xml><?xml version="1.0" encoding="utf-8"?>
<x:table xmlns:x="http://schemas.openxmlformats.org/spreadsheetml/2006/main" id="11" name="T_Dim_Developers" displayName="T_Dim_Developers" ref="A1:G9" headerRowCount="1">
  <x:autoFilter ref="A1:G9"/>
  <x:tableColumns count="7">
    <x:tableColumn id="1" name="developer_id"/>
    <x:tableColumn id="2" name="developer_name"/>
    <x:tableColumn id="3" name="manager_id"/>
    <x:tableColumn id="4" name="manager_name"/>
    <x:tableColumn id="5" name="team_name"/>
    <x:tableColumn id="6" name="service_type"/>
    <x:tableColumn id="7" name="level"/>
  </x:tableColumns>
  <x:tableStyleInfo name="TableStyleMedium2" showRowStripes="1"/>
</x:table>
</file>

<file path=xl/tables/table12.xml><?xml version="1.0" encoding="utf-8"?>
<x:table xmlns:x="http://schemas.openxmlformats.org/spreadsheetml/2006/main" id="12" name="T_Fact_Jira_Issues" displayName="T_Fact_Jira_Issues" ref="A1:O33" headerRowCount="1">
  <x:autoFilter ref="A1:O33"/>
  <x:tableColumns count="15">
    <x:tableColumn id="1" name="issue_id"/>
    <x:tableColumn id="2" name="developer_id"/>
    <x:tableColumn id="3" name="developer_name"/>
    <x:tableColumn id="4" name="manager_id"/>
    <x:tableColumn id="5" name="team_name"/>
    <x:tableColumn id="6" name="service_type"/>
    <x:tableColumn id="7" name="issue_type"/>
    <x:tableColumn id="8" name="story_points"/>
    <x:tableColumn id="9" name="created_at"/>
    <x:tableColumn id="10" name="in_progress_at"/>
    <x:tableColumn id="11" name="code_complete_at"/>
    <x:tableColumn id="12" name="done_at"/>
    <x:tableColumn id="13" name="status"/>
    <x:tableColumn id="14" name="month_done"/>
    <x:tableColumn id="15" name="cycle_time_days"/>
  </x:tableColumns>
  <x:tableStyleInfo name="TableStyleMedium2" showRowStripes="1"/>
</x:table>
</file>

<file path=xl/tables/table13.xml><?xml version="1.0" encoding="utf-8"?>
<x:table xmlns:x="http://schemas.openxmlformats.org/spreadsheetml/2006/main" id="13" name="T_Fact_Pull_Requests" displayName="T_Fact_Pull_Requests" ref="A1:P33" headerRowCount="1">
  <x:autoFilter ref="A1:P33"/>
  <x:tableColumns count="16">
    <x:tableColumn id="1" name="pr_id"/>
    <x:tableColumn id="2" name="issue_id"/>
    <x:tableColumn id="3" name="developer_id"/>
    <x:tableColumn id="4" name="developer_name"/>
    <x:tableColumn id="5" name="manager_id"/>
    <x:tableColumn id="6" name="team_name"/>
    <x:tableColumn id="7" name="opened_at"/>
    <x:tableColumn id="8" name="first_review_at"/>
    <x:tableColumn id="9" name="approved_at"/>
    <x:tableColumn id="10" name="merged_at"/>
    <x:tableColumn id="11" name="status"/>
    <x:tableColumn id="12" name="month_merged"/>
    <x:tableColumn id="13" name="review_wait_hours"/>
    <x:tableColumn id="14" name="merge_time_hours"/>
    <x:tableColumn id="15" name="lines_changed"/>
    <x:tableColumn id="16" name="review_rounds"/>
  </x:tableColumns>
  <x:tableStyleInfo name="TableStyleMedium2" showRowStripes="1"/>
</x:table>
</file>

<file path=xl/tables/table14.xml><?xml version="1.0" encoding="utf-8"?>
<x:table xmlns:x="http://schemas.openxmlformats.org/spreadsheetml/2006/main" id="14" name="T_Fact_CI_Deployments" displayName="T_Fact_CI_Deployments" ref="A1:N33" headerRowCount="1">
  <x:autoFilter ref="A1:N33"/>
  <x:tableColumns count="14">
    <x:tableColumn id="1" name="deployment_id"/>
    <x:tableColumn id="2" name="pr_id"/>
    <x:tableColumn id="3" name="issue_id"/>
    <x:tableColumn id="4" name="developer_id"/>
    <x:tableColumn id="5" name="developer_name"/>
    <x:tableColumn id="6" name="manager_id"/>
    <x:tableColumn id="7" name="team_name"/>
    <x:tableColumn id="8" name="environment"/>
    <x:tableColumn id="9" name="started_at"/>
    <x:tableColumn id="10" name="completed_at"/>
    <x:tableColumn id="11" name="status"/>
    <x:tableColumn id="12" name="month_deployed"/>
    <x:tableColumn id="13" name="lead_time_days"/>
    <x:tableColumn id="14" name="release_type"/>
  </x:tableColumns>
  <x:tableStyleInfo name="TableStyleMedium2" showRowStripes="1"/>
</x:table>
</file>

<file path=xl/tables/table15.xml><?xml version="1.0" encoding="utf-8"?>
<x:table xmlns:x="http://schemas.openxmlformats.org/spreadsheetml/2006/main" id="15" name="T_Fact_Bug_Reports" displayName="T_Fact_Bug_Reports" ref="A1:L7" headerRowCount="1">
  <x:autoFilter ref="A1:L7"/>
  <x:tableColumns count="12">
    <x:tableColumn id="1" name="bug_id"/>
    <x:tableColumn id="2" name="linked_issue_id"/>
    <x:tableColumn id="3" name="developer_id"/>
    <x:tableColumn id="4" name="developer_name"/>
    <x:tableColumn id="5" name="manager_id"/>
    <x:tableColumn id="6" name="team_name"/>
    <x:tableColumn id="7" name="found_at"/>
    <x:tableColumn id="8" name="severity"/>
    <x:tableColumn id="9" name="escaped_to_prod"/>
    <x:tableColumn id="10" name="status"/>
    <x:tableColumn id="11" name="month_found"/>
    <x:tableColumn id="12" name="root_cause_bucket"/>
  </x:tableColumns>
  <x:tableStyleInfo name="TableStyleMedium2" showRowStripes="1"/>
</x:table>
</file>

<file path=xl/tables/table16.xml><?xml version="1.0" encoding="utf-8"?>
<x:table xmlns:x="http://schemas.openxmlformats.org/spreadsheetml/2006/main" id="16" name="T_MetricLogic" displayName="T_MetricLogic" ref="A3:C8" headerRowCount="1">
  <x:autoFilter ref="A3:C8"/>
  <x:tableColumns count="3">
    <x:tableColumn id="1" name="Metric"/>
    <x:tableColumn id="2" name="Simple logic used here"/>
    <x:tableColumn id="3" name="Why it exists"/>
  </x:tableColumns>
  <x:tableStyleInfo name="TableStyleMedium2" showRowStripes="1"/>
</x:table>
</file>

<file path=xl/tables/table17.xml><?xml version="1.0" encoding="utf-8"?>
<x:table xmlns:x="http://schemas.openxmlformats.org/spreadsheetml/2006/main" id="17" name="T_MetricRows" displayName="T_MetricRows" ref="A12:N28" headerRowCount="1">
  <x:autoFilter ref="A12:N28"/>
  <x:tableColumns count="14">
    <x:tableColumn id="1" name="developer_id"/>
    <x:tableColumn id="2" name="month"/>
    <x:tableColumn id="3" name="developer_name"/>
    <x:tableColumn id="4" name="manager_id"/>
    <x:tableColumn id="5" name="team_name"/>
    <x:tableColumn id="6" name="issues_done"/>
    <x:tableColumn id="7" name="merged_prs"/>
    <x:tableColumn id="8" name="prod_deployments"/>
    <x:tableColumn id="9" name="escaped_bugs"/>
    <x:tableColumn id="10" name="avg_cycle_time_days"/>
    <x:tableColumn id="11" name="avg_lead_time_days"/>
    <x:tableColumn id="12" name="bug_rate_pct"/>
    <x:tableColumn id="13" name="pattern_hint"/>
    <x:tableColumn id="14" name="dev_month_key"/>
  </x:tableColumns>
  <x:tableStyleInfo name="TableStyleMedium2" showRowStripes="1"/>
</x:table>
</file>

<file path=xl/tables/table18.xml><?xml version="1.0" encoding="utf-8"?>
<x:table xmlns:x="http://schemas.openxmlformats.org/spreadsheetml/2006/main" id="18" name="T_Manager" displayName="T_Manager" ref="A4:H10" headerRowCount="1">
  <x:autoFilter ref="A4:H10"/>
  <x:tableColumns count="8">
    <x:tableColumn id="1" name="manager_id"/>
    <x:tableColumn id="2" name="manager_name"/>
    <x:tableColumn id="3" name="month"/>
    <x:tableColumn id="4" name="team_size"/>
    <x:tableColumn id="5" name="avg_lead_time_days"/>
    <x:tableColumn id="6" name="avg_cycle_time_days"/>
    <x:tableColumn id="7" name="avg_bug_rate_pct"/>
    <x:tableColumn id="8" name="signal"/>
  </x:tableColumns>
  <x:tableStyleInfo name="TableStyleMedium2" showRowStripes="1"/>
</x:table>
</file>

<file path=xl/tables/table19.xml><?xml version="1.0" encoding="utf-8"?>
<x:table xmlns:x="http://schemas.openxmlformats.org/spreadsheetml/2006/main" id="19" name="T_Rubric" displayName="T_Rubric" ref="A3:C9" headerRowCount="1">
  <x:autoFilter ref="A3:C9"/>
  <x:tableColumns count="3">
    <x:tableColumn id="1" name="Category"/>
    <x:tableColumn id="2" name="What good looks like"/>
    <x:tableColumn id="3" name="Weight"/>
  </x:tableColumns>
  <x:tableStyleInfo name="TableStyleMedium2" showRowStripes="1"/>
</x:table>
</file>

<file path=xl/tables/table20.xml><?xml version="1.0" encoding="utf-8"?>
<x:table xmlns:x="http://schemas.openxmlformats.org/spreadsheetml/2006/main" id="20" name="T_Score" displayName="T_Score" ref="A6:E13" headerRowCount="1">
  <x:autoFilter ref="A6:E13"/>
  <x:tableColumns count="5">
    <x:tableColumn id="1" name="Category"/>
    <x:tableColumn id="2" name="Weight"/>
    <x:tableColumn id="3" name="Score (1-5)"/>
    <x:tableColumn id="4" name="Weighted score"/>
    <x:tableColumn id="5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T_ReviewGuide" displayName="T_ReviewGuide" ref="A3:B8" headerRowCount="1">
  <x:autoFilter ref="A3:B8"/>
  <x:tableColumns count="2">
    <x:tableColumn id="1" name="Prompt"/>
    <x:tableColumn id="2" name="What to listen for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8a67b91c1e47a5" /><Relationship Type="http://schemas.openxmlformats.org/officeDocument/2006/relationships/table" Target="/xl/tables/table2.xml" Id="R381cc59b19b94b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257549ccb7d4f22" /><Relationship Type="http://schemas.openxmlformats.org/officeDocument/2006/relationships/table" Target="/xl/tables/table4.xml" Id="R827ebeea500c47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25581d1cf85646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fd6ec31bad17437d" /><Relationship Type="http://schemas.openxmlformats.org/officeDocument/2006/relationships/table" Target="/xl/tables/table7.xml" Id="R55fdd302c3484f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2ebbea221bae40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3fd0b6025e1c4b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0c52c92e8da04e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3ed0613590eb46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b484fa7c28734b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3c92bb4dd39240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4.xml" Id="Ra66b6776fd39401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b94fc8a1739e4e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.xml" Id="Ra1428666399f4c78" /><Relationship Type="http://schemas.openxmlformats.org/officeDocument/2006/relationships/vmlDrawing" Target="/xl/drawings/vmldrawing.vml" Id="R8acede741d7a4cd0" /><Relationship Type="http://schemas.openxmlformats.org/officeDocument/2006/relationships/table" Target="/xl/tables/table16.xml" Id="R8cee2bc3dd97418a" /><Relationship Type="http://schemas.openxmlformats.org/officeDocument/2006/relationships/table" Target="/xl/tables/table17.xml" Id="R72695f3bf3a74d6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2659c33131b4438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aad862a1241343d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5fe51357071f410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1c1df948ddf84c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78" customWidth="1"/>
    <x:col min="3" max="3" width="28" customWidth="1"/>
  </x:cols>
  <x:sheetData>
    <x:row r="1">
      <x:c r="A1" s="1" t="inlineStr">
        <x:is>
          <x:t xml:space="preserve">Developer Productivity MVP — Intern Assignment Pack</x:t>
        </x:is>
      </x:c>
    </x:row>
    <x:row r="2">
      <x:c r="A2" s="2" t="inlineStr">
        <x:is>
          <x:t xml:space="preserve">This workbook is designed for freshers. Read the first 5 sheets in order before you start building anything.</x:t>
        </x:is>
      </x:c>
    </x:row>
    <x:row r="3" ht="28" customHeight="1">
      <x:c r="A3" s="3" t="inlineStr">
        <x:is>
          <x:t xml:space="preserve">Item</x:t>
        </x:is>
      </x:c>
      <x:c r="B3" s="3" t="inlineStr">
        <x:is>
          <x:t xml:space="preserve">Explanation</x:t>
        </x:is>
      </x:c>
      <x:c r="C3" s="3" t="inlineStr">
        <x:is>
          <x:t xml:space="preserve">Why it matters</x:t>
        </x:is>
      </x:c>
    </x:row>
    <x:row r="4" ht="28" customHeight="1">
      <x:c r="A4" s="3" t="n"/>
      <x:c r="B4" s="3" t="n"/>
      <x:c r="C4" s="3" t="n"/>
    </x:row>
    <x:row r="5" ht="44" customHeight="1">
      <x:c r="A5" s="4" t="inlineStr">
        <x:is>
          <x:t xml:space="preserve">What you are building</x:t>
        </x:is>
      </x:c>
      <x:c r="B5" s="4" t="inlineStr">
        <x:is>
          <x:t xml:space="preserve">A small MVP that helps a developer understand their metrics, interpret likely causes, and see one or two practical next steps.</x:t>
        </x:is>
      </x:c>
      <x:c r="C5" s="4" t="inlineStr">
        <x:is>
          <x:t xml:space="preserve">We want to see product thinking, not just dashboards.</x:t>
        </x:is>
      </x:c>
    </x:row>
    <x:row r="6" ht="44" customHeight="1">
      <x:c r="A6" s="4" t="inlineStr">
        <x:is>
          <x:t xml:space="preserve">Recommended user</x:t>
        </x:is>
      </x:c>
      <x:c r="B6" s="4" t="inlineStr">
        <x:is>
          <x:t xml:space="preserve">Start with one Individual Contributor (IC). If time permits, add a simple manager summary.</x:t>
        </x:is>
      </x:c>
      <x:c r="C6" s="4" t="inlineStr">
        <x:is>
          <x:t xml:space="preserve">A smaller focused solution usually performs better.</x:t>
        </x:is>
      </x:c>
    </x:row>
    <x:row r="7" ht="44" customHeight="1">
      <x:c r="A7" s="4" t="inlineStr">
        <x:is>
          <x:t xml:space="preserve">Required stack</x:t>
        </x:is>
      </x:c>
      <x:c r="B7" s="4" t="inlineStr">
        <x:is>
          <x:t xml:space="preserve">Use React.js for the front end. You may choose any reasonable backend, database, or mock server.</x:t>
        </x:is>
      </x:c>
      <x:c r="C7" s="4" t="inlineStr">
        <x:is>
          <x:t xml:space="preserve">We want to evaluate core software development ability.</x:t>
        </x:is>
      </x:c>
    </x:row>
    <x:row r="8" ht="44" customHeight="1">
      <x:c r="A8" s="4" t="inlineStr">
        <x:is>
          <x:t xml:space="preserve">What success looks like</x:t>
        </x:is>
      </x:c>
      <x:c r="B8" s="4" t="inlineStr">
        <x:is>
          <x:t xml:space="preserve">A clean flow, reasonable metric logic, and a demo you can explain confidently.</x:t>
        </x:is>
      </x:c>
      <x:c r="C8" s="4" t="inlineStr">
        <x:is>
          <x:t xml:space="preserve">Clarity matters more than complexity.</x:t>
        </x:is>
      </x:c>
    </x:row>
    <x:row r="9" ht="44" customHeight="1">
      <x:c r="A9" s="4" t="inlineStr">
        <x:is>
          <x:t xml:space="preserve">Main warning</x:t>
        </x:is>
      </x:c>
      <x:c r="B9" s="4" t="inlineStr">
        <x:is>
          <x:t xml:space="preserve">Do not over-scope. Do not build a giant analytics platform. Do not hide behind AI-generated code you cannot explain.</x:t>
        </x:is>
      </x:c>
      <x:c r="C9" s="4" t="inlineStr">
        <x:is>
          <x:t xml:space="preserve">Good judgment is part of the assignment.</x:t>
        </x:is>
      </x:c>
    </x:row>
    <x:row r="12">
      <x:c r="A12" s="5" t="inlineStr">
        <x:is>
          <x:t xml:space="preserve">Read these sheets in order</x:t>
        </x:is>
      </x:c>
    </x:row>
    <x:row r="13" ht="28" customHeight="1">
      <x:c r="A13" s="3" t="inlineStr">
        <x:is>
          <x:t xml:space="preserve">Sheet</x:t>
        </x:is>
      </x:c>
      <x:c r="B13" s="3" t="inlineStr">
        <x:is>
          <x:t xml:space="preserve">How to use it</x:t>
        </x:is>
      </x:c>
    </x:row>
    <x:row r="14" ht="34" customHeight="1">
      <x:c r="A14" s="4" t="inlineStr">
        <x:is>
          <x:t xml:space="preserve">Developer_Productivity_Brief</x:t>
        </x:is>
      </x:c>
      <x:c r="B14" s="4" t="inlineStr">
        <x:is>
          <x:t xml:space="preserve">Understand the domain: who a developer is, what SDLC means, and why these 5 metrics matter.</x:t>
        </x:is>
      </x:c>
    </x:row>
    <x:row r="15" ht="34" customHeight="1">
      <x:c r="A15" s="4" t="inlineStr">
        <x:is>
          <x:t xml:space="preserve">Assignment_Steps</x:t>
        </x:is>
      </x:c>
      <x:c r="B15" s="4" t="inlineStr">
        <x:is>
          <x:t xml:space="preserve">Follow these steps if you are unsure how to approach the assignment.</x:t>
        </x:is>
      </x:c>
    </x:row>
    <x:row r="16" ht="34" customHeight="1">
      <x:c r="A16" s="4" t="inlineStr">
        <x:is>
          <x:t xml:space="preserve">AI_Guide</x:t>
        </x:is>
      </x:c>
      <x:c r="B16" s="4" t="inlineStr">
        <x:is>
          <x:t xml:space="preserve">Use AI to understand and accelerate. Do not let AI replace your thinking.</x:t>
        </x:is>
      </x:c>
    </x:row>
    <x:row r="17" ht="34" customHeight="1">
      <x:c r="A17" s="4" t="inlineStr">
        <x:is>
          <x:t xml:space="preserve">Data_Model_Overview</x:t>
        </x:is>
      </x:c>
      <x:c r="B17" s="4" t="inlineStr">
        <x:is>
          <x:t xml:space="preserve">See how the source tables fit together.</x:t>
        </x:is>
      </x:c>
    </x:row>
    <x:row r="18" ht="34" customHeight="1">
      <x:c r="A18" s="4" t="inlineStr">
        <x:is>
          <x:t xml:space="preserve">Metric_Examples</x:t>
        </x:is>
      </x:c>
      <x:c r="B18" s="4" t="inlineStr">
        <x:is>
          <x:t xml:space="preserve">Understand one simple way to calculate the assignment metrics.</x:t>
        </x:is>
      </x:c>
    </x:row>
  </x:sheetData>
  <x:mergeCells>
    <x:mergeCell ref="A2:H2"/>
    <x:mergeCell ref="A1:H1"/>
  </x:mergeCells>
  <x:pageMargins left="0.7" right="0.7" top="0.75" bottom="0.75" header="0.3" footer="0.3"/>
  <x:tableParts count="2">
    <x:tablePart xmlns:r="http://schemas.openxmlformats.org/officeDocument/2006/relationships" r:id="R818a67b91c1e47a5"/>
    <x:tablePart xmlns:r="http://schemas.openxmlformats.org/officeDocument/2006/relationships" r:id="R381cc59b19b94b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" customWidth="1"/>
    <x:col min="2" max="2" width="74" customWidth="1"/>
    <x:col min="3" max="3" width="30" customWidth="1"/>
    <x:col min="4" max="4" width="24" customWidth="1"/>
  </x:cols>
  <x:sheetData>
    <x:row r="1">
      <x:c r="A1" s="1" t="inlineStr">
        <x:is>
          <x:t xml:space="preserve">Developer Productivity Brief</x:t>
        </x:is>
      </x:c>
    </x:row>
    <x:row r="2">
      <x:c r="A2" s="2" t="inlineStr">
        <x:is>
          <x:t xml:space="preserve">This gives you enough context to understand the assignment even if you have never worked on a software engineering product before.</x:t>
        </x:is>
      </x:c>
    </x:row>
    <x:row r="3" ht="28" customHeight="1">
      <x:c r="A3" s="3" t="inlineStr">
        <x:is>
          <x:t xml:space="preserve">Topic</x:t>
        </x:is>
      </x:c>
      <x:c r="B3" s="3" t="inlineStr">
        <x:is>
          <x:t xml:space="preserve">Plain-English explanation</x:t>
        </x:is>
      </x:c>
      <x:c r="C3" s="3" t="inlineStr">
        <x:is>
          <x:t xml:space="preserve">Why it matters</x:t>
        </x:is>
      </x:c>
    </x:row>
    <x:row r="4" ht="28" customHeight="1">
      <x:c r="A4" s="3" t="n"/>
      <x:c r="B4" s="3" t="n"/>
      <x:c r="C4" s="3" t="n"/>
    </x:row>
    <x:row r="5" ht="48" customHeight="1">
      <x:c r="A5" s="4" t="inlineStr">
        <x:is>
          <x:t xml:space="preserve">Who is a developer?</x:t>
        </x:is>
      </x:c>
      <x:c r="B5" s="4" t="inlineStr">
        <x:is>
          <x:t xml:space="preserve">A developer is someone who builds and changes software. They write code, review code, test changes, and ship releases with a team.</x:t>
        </x:is>
      </x:c>
      <x:c r="C5" s="4" t="inlineStr">
        <x:is>
          <x:t xml:space="preserve">The product you build should help this user make better decisions.</x:t>
        </x:is>
      </x:c>
    </x:row>
    <x:row r="6" ht="48" customHeight="1">
      <x:c r="A6" s="4" t="inlineStr">
        <x:is>
          <x:t xml:space="preserve">What is SDLC?</x:t>
        </x:is>
      </x:c>
      <x:c r="B6" s="4" t="inlineStr">
        <x:is>
          <x:t xml:space="preserve">SDLC stands for Software Development Life Cycle. In simple terms: plan work, pick up a ticket, write code, review code, test it, deploy it, and fix issues after release.</x:t>
        </x:is>
      </x:c>
      <x:c r="C6" s="4" t="inlineStr">
        <x:is>
          <x:t xml:space="preserve">The metrics in this assignment come from these SDLC steps.</x:t>
        </x:is>
      </x:c>
    </x:row>
    <x:row r="7" ht="48" customHeight="1">
      <x:c r="A7" s="4" t="inlineStr">
        <x:is>
          <x:t xml:space="preserve">Why do teams use developer productivity metrics?</x:t>
        </x:is>
      </x:c>
      <x:c r="B7" s="4" t="inlineStr">
        <x:is>
          <x:t xml:space="preserve">Good teams use metrics to find bottlenecks, improve quality, and make delivery healthier. They should not use them blindly to judge people.</x:t>
        </x:is>
      </x:c>
      <x:c r="C7" s="4" t="inlineStr">
        <x:is>
          <x:t xml:space="preserve">Your solution should feel helpful, not punitive.</x:t>
        </x:is>
      </x:c>
    </x:row>
    <x:row r="8" ht="48" customHeight="1">
      <x:c r="A8" s="4" t="inlineStr">
        <x:is>
          <x:t xml:space="preserve">What is the actual product challenge?</x:t>
        </x:is>
      </x:c>
      <x:c r="B8" s="4" t="inlineStr">
        <x:is>
          <x:t xml:space="preserve">Metrics tell you what happened. A better product helps the user interpret those metrics and decide what to do next.</x:t>
        </x:is>
      </x:c>
      <x:c r="C8" s="4" t="inlineStr">
        <x:is>
          <x:t xml:space="preserve">This is the key problem you are solving.</x:t>
        </x:is>
      </x:c>
    </x:row>
    <x:row r="11">
      <x:c r="A11" s="5" t="inlineStr">
        <x:is>
          <x:t xml:space="preserve">The 5 metrics in this assignment</x:t>
        </x:is>
      </x:c>
    </x:row>
    <x:row r="12" ht="28" customHeight="1">
      <x:c r="A12" s="3" t="inlineStr">
        <x:is>
          <x:t xml:space="preserve">Metric</x:t>
        </x:is>
      </x:c>
      <x:c r="B12" s="3" t="inlineStr">
        <x:is>
          <x:t xml:space="preserve">What it means in this workbook</x:t>
        </x:is>
      </x:c>
      <x:c r="C12" s="3" t="inlineStr">
        <x:is>
          <x:t xml:space="preserve">Why a developer should care</x:t>
        </x:is>
      </x:c>
      <x:c r="D12" s="3" t="inlineStr">
        <x:is>
          <x:t xml:space="preserve">Main source tables</x:t>
        </x:is>
      </x:c>
    </x:row>
    <x:row r="13" ht="42" customHeight="1">
      <x:c r="A13" s="4" t="inlineStr">
        <x:is>
          <x:t xml:space="preserve">Lead Time for Changes</x:t>
        </x:is>
      </x:c>
      <x:c r="B13" s="4" t="inlineStr">
        <x:is>
          <x:t xml:space="preserve">Average time from PR opened to successful production deployment.</x:t>
        </x:is>
      </x:c>
      <x:c r="C13" s="4" t="inlineStr">
        <x:is>
          <x:t xml:space="preserve">Tells how long a change takes to reach users once the review process begins.</x:t>
        </x:is>
      </x:c>
      <x:c r="D13" s="4" t="inlineStr">
        <x:is>
          <x:t xml:space="preserve">Fact_Pull_Requests + Fact_CI_Deployments</x:t>
        </x:is>
      </x:c>
    </x:row>
    <x:row r="14" ht="42" customHeight="1">
      <x:c r="A14" s="4" t="inlineStr">
        <x:is>
          <x:t xml:space="preserve">Cycle Time</x:t>
        </x:is>
      </x:c>
      <x:c r="B14" s="4" t="inlineStr">
        <x:is>
          <x:t xml:space="preserve">Average time from issue moved to In Progress to issue marked Done.</x:t>
        </x:is>
      </x:c>
      <x:c r="C14" s="4" t="inlineStr">
        <x:is>
          <x:t xml:space="preserve">Shows how long work stays active once development starts.</x:t>
        </x:is>
      </x:c>
      <x:c r="D14" s="4" t="inlineStr">
        <x:is>
          <x:t xml:space="preserve">Fact_Jira_Issues</x:t>
        </x:is>
      </x:c>
    </x:row>
    <x:row r="15" ht="42" customHeight="1">
      <x:c r="A15" s="4" t="inlineStr">
        <x:is>
          <x:t xml:space="preserve">Bug Rate</x:t>
        </x:is>
      </x:c>
      <x:c r="B15" s="4" t="inlineStr">
        <x:is>
          <x:t xml:space="preserve">Escaped production bugs found in the month divided by issues completed in the month.</x:t>
        </x:is>
      </x:c>
      <x:c r="C15" s="4" t="inlineStr">
        <x:is>
          <x:t xml:space="preserve">Shows whether speed is hurting quality.</x:t>
        </x:is>
      </x:c>
      <x:c r="D15" s="4" t="inlineStr">
        <x:is>
          <x:t xml:space="preserve">Fact_Bug_Reports + Fact_Jira_Issues</x:t>
        </x:is>
      </x:c>
    </x:row>
    <x:row r="16" ht="42" customHeight="1">
      <x:c r="A16" s="4" t="inlineStr">
        <x:is>
          <x:t xml:space="preserve">Deployment Frequency</x:t>
        </x:is>
      </x:c>
      <x:c r="B16" s="4" t="inlineStr">
        <x:is>
          <x:t xml:space="preserve">Count of successful production deployments in the month.</x:t>
        </x:is>
      </x:c>
      <x:c r="C16" s="4" t="inlineStr">
        <x:is>
          <x:t xml:space="preserve">Frequent safe releases often indicate a healthier delivery loop.</x:t>
        </x:is>
      </x:c>
      <x:c r="D16" s="4" t="inlineStr">
        <x:is>
          <x:t xml:space="preserve">Fact_CI_Deployments</x:t>
        </x:is>
      </x:c>
    </x:row>
    <x:row r="17" ht="42" customHeight="1">
      <x:c r="A17" s="4" t="inlineStr">
        <x:is>
          <x:t xml:space="preserve">PR Throughput</x:t>
        </x:is>
      </x:c>
      <x:c r="B17" s="4" t="inlineStr">
        <x:is>
          <x:t xml:space="preserve">Count of merged pull requests in the month.</x:t>
        </x:is>
      </x:c>
      <x:c r="C17" s="4" t="inlineStr">
        <x:is>
          <x:t xml:space="preserve">Useful as an activity signal, but weak if used without quality and speed metrics.</x:t>
        </x:is>
      </x:c>
      <x:c r="D17" s="4" t="inlineStr">
        <x:is>
          <x:t xml:space="preserve">Fact_Pull_Requests</x:t>
        </x:is>
      </x:c>
    </x:row>
  </x:sheetData>
  <x:mergeCells>
    <x:mergeCell ref="A2:H2"/>
    <x:mergeCell ref="A1:H1"/>
  </x:mergeCells>
  <x:pageMargins left="0.7" right="0.7" top="0.75" bottom="0.75" header="0.3" footer="0.3"/>
  <x:tableParts count="2">
    <x:tablePart xmlns:r="http://schemas.openxmlformats.org/officeDocument/2006/relationships" r:id="Rc257549ccb7d4f22"/>
    <x:tablePart xmlns:r="http://schemas.openxmlformats.org/officeDocument/2006/relationships" r:id="R827ebeea500c47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68" customWidth="1"/>
    <x:col min="3" max="3" width="36" customWidth="1"/>
  </x:cols>
  <x:sheetData>
    <x:row r="1">
      <x:c r="A1" s="1" t="inlineStr">
        <x:is>
          <x:t xml:space="preserve">Step-by-Step Assignment Guide</x:t>
        </x:is>
      </x:c>
    </x:row>
    <x:row r="2">
      <x:c r="A2" s="2" t="inlineStr">
        <x:is>
          <x:t xml:space="preserve">Follow these steps in order. This is designed to reduce confusion and keep your MVP manageable.</x:t>
        </x:is>
      </x:c>
    </x:row>
    <x:row r="3" ht="28" customHeight="1">
      <x:c r="A3" s="3" t="inlineStr">
        <x:is>
          <x:t xml:space="preserve">Step</x:t>
        </x:is>
      </x:c>
      <x:c r="B3" s="3" t="inlineStr">
        <x:is>
          <x:t xml:space="preserve">What you should do</x:t>
        </x:is>
      </x:c>
      <x:c r="C3" s="3" t="inlineStr">
        <x:is>
          <x:t xml:space="preserve">Expected output</x:t>
        </x:is>
      </x:c>
    </x:row>
    <x:row r="4" ht="28" customHeight="1">
      <x:c r="A4" s="3" t="n"/>
      <x:c r="B4" s="3" t="n"/>
      <x:c r="C4" s="3" t="n"/>
    </x:row>
    <x:row r="5" ht="40" customHeight="1">
      <x:c r="A5" s="4" t="inlineStr">
        <x:is>
          <x:t xml:space="preserve">1. Understand the problem</x:t>
        </x:is>
      </x:c>
      <x:c r="B5" s="4" t="inlineStr">
        <x:is>
          <x:t xml:space="preserve">Read Start_Here and Developer_Productivity_Brief. Then write a short note in your own words: What problem are we solving for a developer?</x:t>
        </x:is>
      </x:c>
      <x:c r="C5" s="4" t="inlineStr">
        <x:is>
          <x:t xml:space="preserve">A 3–5 line problem summary for yourself.</x:t>
        </x:is>
      </x:c>
    </x:row>
    <x:row r="6" ht="40" customHeight="1">
      <x:c r="A6" s="4" t="inlineStr">
        <x:is>
          <x:t xml:space="preserve">2. Understand the source tables</x:t>
        </x:is>
      </x:c>
      <x:c r="B6" s="4" t="inlineStr">
        <x:is>
          <x:t xml:space="preserve">Open Data_Model_Overview, Data_Dictionary, and the Fact_* sheets. Identify which tables you need for your MVP.</x:t>
        </x:is>
      </x:c>
      <x:c r="C6" s="4" t="inlineStr">
        <x:is>
          <x:t xml:space="preserve">A list of tables and fields you will use.</x:t>
        </x:is>
      </x:c>
    </x:row>
    <x:row r="7" ht="40" customHeight="1">
      <x:c r="A7" s="4" t="inlineStr">
        <x:is>
          <x:t xml:space="preserve">3. Understand the metrics</x:t>
        </x:is>
      </x:c>
      <x:c r="B7" s="4" t="inlineStr">
        <x:is>
          <x:t xml:space="preserve">Open Metric_Examples and verify how the sample metrics were calculated.</x:t>
        </x:is>
      </x:c>
      <x:c r="C7" s="4" t="inlineStr">
        <x:is>
          <x:t xml:space="preserve">A metric plan that you can explain.</x:t>
        </x:is>
      </x:c>
    </x:row>
    <x:row r="8" ht="40" customHeight="1">
      <x:c r="A8" s="4" t="inlineStr">
        <x:is>
          <x:t xml:space="preserve">4. Choose your MVP journey</x:t>
        </x:is>
      </x:c>
      <x:c r="B8" s="4" t="inlineStr">
        <x:is>
          <x:t xml:space="preserve">Recommended path: one IC sees their metrics, gets a short interpretation, and sees next steps. Optionally add a manager page.</x:t>
        </x:is>
      </x:c>
      <x:c r="C8" s="4" t="inlineStr">
        <x:is>
          <x:t xml:space="preserve">A scoped MVP.</x:t>
        </x:is>
      </x:c>
    </x:row>
    <x:row r="9" ht="40" customHeight="1">
      <x:c r="A9" s="4" t="inlineStr">
        <x:is>
          <x:t xml:space="preserve">5. Use AI responsibly</x:t>
        </x:is>
      </x:c>
      <x:c r="B9" s="4" t="inlineStr">
        <x:is>
          <x:t xml:space="preserve">Ask AI to explain the domain, suggest architecture, and help with code or debugging. Keep only what you understand.</x:t>
        </x:is>
      </x:c>
      <x:c r="C9" s="4" t="inlineStr">
        <x:is>
          <x:t xml:space="preserve">A clearer implementation plan.</x:t>
        </x:is>
      </x:c>
    </x:row>
    <x:row r="10" ht="40" customHeight="1">
      <x:c r="A10" s="4" t="inlineStr">
        <x:is>
          <x:t xml:space="preserve">6. Build the MVP</x:t>
        </x:is>
      </x:c>
      <x:c r="B10" s="4" t="inlineStr">
        <x:is>
          <x:t xml:space="preserve">Use React.js on the front end. Add a backend/API or mock service. Load the sample data and show one reasoning layer, not just charts.</x:t>
        </x:is>
      </x:c>
      <x:c r="C10" s="4" t="inlineStr">
        <x:is>
          <x:t xml:space="preserve">A working prototype.</x:t>
        </x:is>
      </x:c>
    </x:row>
    <x:row r="11" ht="40" customHeight="1">
      <x:c r="A11" s="4" t="inlineStr">
        <x:is>
          <x:t xml:space="preserve">7. Create the Miro board</x:t>
        </x:is>
      </x:c>
      <x:c r="B11" s="4" t="inlineStr">
        <x:is>
          <x:t xml:space="preserve">Use the free Miro template called User Journey. Fill the main sections based on your chosen flow.</x:t>
        </x:is>
      </x:c>
      <x:c r="C11" s="4" t="inlineStr">
        <x:is>
          <x:t xml:space="preserve">A Miro board link.</x:t>
        </x:is>
      </x:c>
    </x:row>
    <x:row r="12" ht="40" customHeight="1">
      <x:c r="A12" s="4" t="inlineStr">
        <x:is>
          <x:t xml:space="preserve">8. Record the video</x:t>
        </x:is>
      </x:c>
      <x:c r="B12" s="4" t="inlineStr">
        <x:is>
          <x:t xml:space="preserve">Record a 5–10 minute walkthrough in clear audio and good lighting. Show the problem, your MVP, and a short demo.</x:t>
        </x:is>
      </x:c>
      <x:c r="C12" s="4" t="inlineStr">
        <x:is>
          <x:t xml:space="preserve">A Google Drive video link.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5581d1cf85646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74" customWidth="1"/>
  </x:cols>
  <x:sheetData>
    <x:row r="1">
      <x:c r="A1" s="1" t="inlineStr">
        <x:is>
          <x:t xml:space="preserve">AI Use Guide</x:t>
        </x:is>
      </x:c>
    </x:row>
    <x:row r="2">
      <x:c r="A2" s="2" t="inlineStr">
        <x:is>
          <x:t xml:space="preserve">AI is allowed and encouraged. Use it to understand the problem faster, explore options, and debug. But the final thinking must still be yours.</x:t>
        </x:is>
      </x:c>
    </x:row>
    <x:row r="3" ht="28" customHeight="1">
      <x:c r="A3" s="3" t="inlineStr">
        <x:is>
          <x:t xml:space="preserve">Category</x:t>
        </x:is>
      </x:c>
      <x:c r="B3" s="3" t="inlineStr">
        <x:is>
          <x:t xml:space="preserve">Guidance</x:t>
        </x:is>
      </x:c>
    </x:row>
    <x:row r="4" ht="28" customHeight="1">
      <x:c r="A4" s="3" t="n"/>
      <x:c r="B4" s="3" t="n"/>
    </x:row>
    <x:row r="5" ht="44" customHeight="1">
      <x:c r="A5" s="4" t="inlineStr">
        <x:is>
          <x:t xml:space="preserve">AI can help with</x:t>
        </x:is>
      </x:c>
      <x:c r="B5" s="4" t="inlineStr">
        <x:is>
          <x:t xml:space="preserve">Explaining SDLC and the metrics, summarizing the workbook, proposing a React + backend architecture, suggesting UI ideas, generating boilerplate code, debugging, writing tests, and improving wording.</x:t>
        </x:is>
      </x:c>
    </x:row>
    <x:row r="6" ht="44" customHeight="1">
      <x:c r="A6" s="4" t="inlineStr">
        <x:is>
          <x:t xml:space="preserve">You must do yourself</x:t>
        </x:is>
      </x:c>
      <x:c r="B6" s="4" t="inlineStr">
        <x:is>
          <x:t xml:space="preserve">Choose the MVP scope, verify the metric logic, decide the product flow, understand the code, and explain why your solution makes sense.</x:t>
        </x:is>
      </x:c>
    </x:row>
    <x:row r="7" ht="44" customHeight="1">
      <x:c r="A7" s="4" t="inlineStr">
        <x:is>
          <x:t xml:space="preserve">Avoid this</x:t>
        </x:is>
      </x:c>
      <x:c r="B7" s="4" t="inlineStr">
        <x:is>
          <x:t xml:space="preserve">Do not submit a generic AI-built dashboard. Do not trust hallucinated metric logic. Do not present code that you cannot explain.</x:t>
        </x:is>
      </x:c>
    </x:row>
    <x:row r="8" ht="44" customHeight="1">
      <x:c r="A8" s="4" t="inlineStr">
        <x:is>
          <x:t xml:space="preserve">What we will evaluate</x:t>
        </x:is>
      </x:c>
      <x:c r="B8" s="4" t="inlineStr">
        <x:is>
          <x:t xml:space="preserve">How well you understood the problem, the quality of your decisions, and whether you can explain your implementation clearly.</x:t>
        </x:is>
      </x:c>
    </x:row>
    <x:row r="10">
      <x:c r="A10" s="5" t="inlineStr">
        <x:is>
          <x:t xml:space="preserve">Suggested prompts to ask an AI tool</x:t>
        </x:is>
      </x:c>
    </x:row>
    <x:row r="11" ht="28" customHeight="1">
      <x:c r="A11" s="3" t="inlineStr">
        <x:is>
          <x:t xml:space="preserve">Prompt label</x:t>
        </x:is>
      </x:c>
      <x:c r="B11" s="3" t="inlineStr">
        <x:is>
          <x:t xml:space="preserve">Prompt</x:t>
        </x:is>
      </x:c>
    </x:row>
    <x:row r="12" ht="40" customHeight="1">
      <x:c r="A12" s="4" t="inlineStr">
        <x:is>
          <x:t xml:space="preserve">Understand the problem</x:t>
        </x:is>
      </x:c>
      <x:c r="B12" s="4" t="inlineStr">
        <x:is>
          <x:t xml:space="preserve">Summarize this assignment for a fresher in plain English. Explain the problem before suggesting a solution.</x:t>
        </x:is>
      </x:c>
    </x:row>
    <x:row r="13" ht="40" customHeight="1">
      <x:c r="A13" s="4" t="inlineStr">
        <x:is>
          <x:t xml:space="preserve">Understand the data</x:t>
        </x:is>
      </x:c>
      <x:c r="B13" s="4" t="inlineStr">
        <x:is>
          <x:t xml:space="preserve">Explain how these source tables connect to the 5 developer productivity metrics in the workbook.</x:t>
        </x:is>
      </x:c>
    </x:row>
    <x:row r="14" ht="40" customHeight="1">
      <x:c r="A14" s="4" t="inlineStr">
        <x:is>
          <x:t xml:space="preserve">Architecture</x:t>
        </x:is>
      </x:c>
      <x:c r="B14" s="4" t="inlineStr">
        <x:is>
          <x:t xml:space="preserve">Suggest a simple React + backend architecture for this MVP. Keep the scope small and interview-friendly.</x:t>
        </x:is>
      </x:c>
    </x:row>
    <x:row r="15" ht="40" customHeight="1">
      <x:c r="A15" s="4" t="inlineStr">
        <x:is>
          <x:t xml:space="preserve">MVP scoping</x:t>
        </x:is>
      </x:c>
      <x:c r="B15" s="4" t="inlineStr">
        <x:is>
          <x:t xml:space="preserve">Given 2–3 days, what is the smallest credible MVP I can build for this assignment?</x:t>
        </x:is>
      </x:c>
    </x:row>
    <x:row r="16" ht="40" customHeight="1">
      <x:c r="A16" s="4" t="inlineStr">
        <x:is>
          <x:t xml:space="preserve">Demo prep</x:t>
        </x:is>
      </x:c>
      <x:c r="B16" s="4" t="inlineStr">
        <x:is>
          <x:t xml:space="preserve">Help me structure a 5–10 minute demo video for this assignment.</x:t>
        </x:is>
      </x:c>
    </x:row>
  </x:sheetData>
  <x:mergeCells>
    <x:mergeCell ref="A2:H2"/>
    <x:mergeCell ref="A1:H1"/>
  </x:mergeCells>
  <x:pageMargins left="0.7" right="0.7" top="0.75" bottom="0.75" header="0.3" footer="0.3"/>
  <x:tableParts count="2">
    <x:tablePart xmlns:r="http://schemas.openxmlformats.org/officeDocument/2006/relationships" r:id="Rfd6ec31bad17437d"/>
    <x:tablePart xmlns:r="http://schemas.openxmlformats.org/officeDocument/2006/relationships" r:id="R55fdd302c3484f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64" customWidth="1"/>
    <x:col min="3" max="3" width="16" customWidth="1"/>
  </x:cols>
  <x:sheetData>
    <x:row r="1">
      <x:c r="A1" s="1" t="inlineStr">
        <x:is>
          <x:t xml:space="preserve">Submission Checklist</x:t>
        </x:is>
      </x:c>
    </x:row>
    <x:row r="2">
      <x:c r="A2" s="2" t="inlineStr">
        <x:is>
          <x:t xml:space="preserve">Keep the submission simple and easy for reviewers to access.</x:t>
        </x:is>
      </x:c>
    </x:row>
    <x:row r="3" ht="28" customHeight="1">
      <x:c r="A3" s="3" t="inlineStr">
        <x:is>
          <x:t xml:space="preserve">Deliverable</x:t>
        </x:is>
      </x:c>
      <x:c r="B3" s="3" t="inlineStr">
        <x:is>
          <x:t xml:space="preserve">Requirement</x:t>
        </x:is>
      </x:c>
      <x:c r="C3" s="3" t="inlineStr">
        <x:is>
          <x:t xml:space="preserve">Required?</x:t>
        </x:is>
      </x:c>
    </x:row>
    <x:row r="4" ht="28" customHeight="1">
      <x:c r="A4" s="3" t="n"/>
      <x:c r="B4" s="3" t="n"/>
      <x:c r="C4" s="3" t="n"/>
    </x:row>
    <x:row r="5" ht="38" customHeight="1">
      <x:c r="A5" s="4" t="inlineStr">
        <x:is>
          <x:t xml:space="preserve">Video walkthrough</x:t>
        </x:is>
      </x:c>
      <x:c r="B5" s="4" t="inlineStr">
        <x:is>
          <x:t xml:space="preserve">5–10 minutes. Clear audio and clear lighting. Upload to Google Drive.</x:t>
        </x:is>
      </x:c>
      <x:c r="C5" s="4" t="inlineStr">
        <x:is>
          <x:t xml:space="preserve">Yes</x:t>
        </x:is>
      </x:c>
    </x:row>
    <x:row r="6" ht="38" customHeight="1">
      <x:c r="A6" s="4" t="inlineStr">
        <x:is>
          <x:t xml:space="preserve">Video access check</x:t>
        </x:is>
      </x:c>
      <x:c r="B6" s="4" t="inlineStr">
        <x:is>
          <x:t xml:space="preserve">Open the Google Drive link in incognito and confirm that reviewers can access it.</x:t>
        </x:is>
      </x:c>
      <x:c r="C6" s="4" t="inlineStr">
        <x:is>
          <x:t xml:space="preserve">Yes</x:t>
        </x:is>
      </x:c>
    </x:row>
    <x:row r="7" ht="38" customHeight="1">
      <x:c r="A7" s="4" t="inlineStr">
        <x:is>
          <x:t xml:space="preserve">Miro board</x:t>
        </x:is>
      </x:c>
      <x:c r="B7" s="4" t="inlineStr">
        <x:is>
          <x:t xml:space="preserve">Use the free Miro template called User Journey. Fill the main sections.</x:t>
        </x:is>
      </x:c>
      <x:c r="C7" s="4" t="inlineStr">
        <x:is>
          <x:t xml:space="preserve">Yes</x:t>
        </x:is>
      </x:c>
    </x:row>
    <x:row r="8" ht="38" customHeight="1">
      <x:c r="A8" s="4" t="inlineStr">
        <x:is>
          <x:t xml:space="preserve">Miro access check</x:t>
        </x:is>
      </x:c>
      <x:c r="B8" s="4" t="inlineStr">
        <x:is>
          <x:t xml:space="preserve">Confirm that reviewers can view your Miro board.</x:t>
        </x:is>
      </x:c>
      <x:c r="C8" s="4" t="inlineStr">
        <x:is>
          <x:t xml:space="preserve">Yes</x:t>
        </x:is>
      </x:c>
    </x:row>
    <x:row r="9" ht="38" customHeight="1">
      <x:c r="A9" s="4" t="inlineStr">
        <x:is>
          <x:t xml:space="preserve">Prototype demo</x:t>
        </x:is>
      </x:c>
      <x:c r="B9" s="4" t="inlineStr">
        <x:is>
          <x:t xml:space="preserve">Show the working prototype briefly in the video.</x:t>
        </x:is>
      </x:c>
      <x:c r="C9" s="4" t="inlineStr">
        <x:is>
          <x:t xml:space="preserve">Yes</x:t>
        </x:is>
      </x:c>
    </x:row>
    <x:row r="10" ht="38" customHeight="1">
      <x:c r="A10" s="4" t="inlineStr">
        <x:is>
          <x:t xml:space="preserve">Code repository or deployed link</x:t>
        </x:is>
      </x:c>
      <x:c r="B10" s="4" t="inlineStr">
        <x:is>
          <x:t xml:space="preserve">Optional but strongly recommended for technical review.</x:t>
        </x:is>
      </x:c>
      <x:c r="C10" s="4" t="inlineStr">
        <x:is>
          <x:t xml:space="preserve">Recommended</x:t>
        </x:is>
      </x:c>
    </x:row>
    <x:row r="11" ht="38" customHeight="1">
      <x:c r="A11" s="4" t="inlineStr">
        <x:is>
          <x:t xml:space="preserve">AI usage note</x:t>
        </x:is>
      </x:c>
      <x:c r="B11" s="4" t="inlineStr">
        <x:is>
          <x:t xml:space="preserve">Briefly state what AI tools you used and how you used them.</x:t>
        </x:is>
      </x:c>
      <x:c r="C11" s="4" t="inlineStr">
        <x:is>
          <x:t xml:space="preserve">Recommended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ebbea221bae40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58" customWidth="1"/>
    <x:col min="3" max="3" width="38" customWidth="1"/>
  </x:cols>
  <x:sheetData>
    <x:row r="1">
      <x:c r="A1" s="1" t="inlineStr">
        <x:is>
          <x:t xml:space="preserve">Data Model Overview</x:t>
        </x:is>
      </x:c>
    </x:row>
    <x:row r="2">
      <x:c r="A2" s="2" t="inlineStr">
        <x:is>
          <x:t xml:space="preserve">Think of these sheets as source tables from different systems such as Jira, GitHub, and CI/CD.</x:t>
        </x:is>
      </x:c>
    </x:row>
    <x:row r="3" ht="28" customHeight="1">
      <x:c r="A3" s="3" t="inlineStr">
        <x:is>
          <x:t xml:space="preserve">Table</x:t>
        </x:is>
      </x:c>
      <x:c r="B3" s="3" t="inlineStr">
        <x:is>
          <x:t xml:space="preserve">What it represents</x:t>
        </x:is>
      </x:c>
      <x:c r="C3" s="3" t="inlineStr">
        <x:is>
          <x:t xml:space="preserve">Useful for</x:t>
        </x:is>
      </x:c>
    </x:row>
    <x:row r="4" ht="28" customHeight="1">
      <x:c r="A4" s="3" t="n"/>
      <x:c r="B4" s="3" t="n"/>
      <x:c r="C4" s="3" t="n"/>
    </x:row>
    <x:row r="5" ht="38" customHeight="1">
      <x:c r="A5" s="4" t="inlineStr">
        <x:is>
          <x:t xml:space="preserve">Dim_Developers</x:t>
        </x:is>
      </x:c>
      <x:c r="B5" s="4" t="inlineStr">
        <x:is>
          <x:t xml:space="preserve">Reference data for developer, manager, team, role level, and service type.</x:t>
        </x:is>
      </x:c>
      <x:c r="C5" s="4" t="inlineStr">
        <x:is>
          <x:t xml:space="preserve">User profile, joins, manager view.</x:t>
        </x:is>
      </x:c>
    </x:row>
    <x:row r="6" ht="38" customHeight="1">
      <x:c r="A6" s="4" t="inlineStr">
        <x:is>
          <x:t xml:space="preserve">Fact_Jira_Issues</x:t>
        </x:is>
      </x:c>
      <x:c r="B6" s="4" t="inlineStr">
        <x:is>
          <x:t xml:space="preserve">Ticketing data similar to Jira work items.</x:t>
        </x:is>
      </x:c>
      <x:c r="C6" s="4" t="inlineStr">
        <x:is>
          <x:t xml:space="preserve">Cycle time, issue count, bug-rate denominator.</x:t>
        </x:is>
      </x:c>
    </x:row>
    <x:row r="7" ht="38" customHeight="1">
      <x:c r="A7" s="4" t="inlineStr">
        <x:is>
          <x:t xml:space="preserve">Fact_Pull_Requests</x:t>
        </x:is>
      </x:c>
      <x:c r="B7" s="4" t="inlineStr">
        <x:is>
          <x:t xml:space="preserve">Source-control data similar to GitHub pull requests.</x:t>
        </x:is>
      </x:c>
      <x:c r="C7" s="4" t="inlineStr">
        <x:is>
          <x:t xml:space="preserve">Lead time input, review delay, PR throughput.</x:t>
        </x:is>
      </x:c>
    </x:row>
    <x:row r="8" ht="38" customHeight="1">
      <x:c r="A8" s="4" t="inlineStr">
        <x:is>
          <x:t xml:space="preserve">Fact_CI_Deployments</x:t>
        </x:is>
      </x:c>
      <x:c r="B8" s="4" t="inlineStr">
        <x:is>
          <x:t xml:space="preserve">Deployment records from CI/CD.</x:t>
        </x:is>
      </x:c>
      <x:c r="C8" s="4" t="inlineStr">
        <x:is>
          <x:t xml:space="preserve">Lead time and deployment frequency.</x:t>
        </x:is>
      </x:c>
    </x:row>
    <x:row r="9" ht="38" customHeight="1">
      <x:c r="A9" s="4" t="inlineStr">
        <x:is>
          <x:t xml:space="preserve">Fact_Bug_Reports</x:t>
        </x:is>
      </x:c>
      <x:c r="B9" s="4" t="inlineStr">
        <x:is>
          <x:t xml:space="preserve">Bugs found after release.</x:t>
        </x:is>
      </x:c>
      <x:c r="C9" s="4" t="inlineStr">
        <x:is>
          <x:t xml:space="preserve">Bug rate and quality signals.</x:t>
        </x:is>
      </x:c>
    </x:row>
    <x:row r="10" ht="38" customHeight="1">
      <x:c r="A10" s="4" t="inlineStr">
        <x:is>
          <x:t xml:space="preserve">Metric_Examples</x:t>
        </x:is>
      </x:c>
      <x:c r="B10" s="4" t="inlineStr">
        <x:is>
          <x:t xml:space="preserve">A sample calculation sheet built from the source tables.</x:t>
        </x:is>
      </x:c>
      <x:c r="C10" s="4" t="inlineStr">
        <x:is>
          <x:t xml:space="preserve">Reference logic only.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3fd0b6025e1c4b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4" customWidth="1"/>
    <x:col min="3" max="3" width="48" customWidth="1"/>
    <x:col min="4" max="4" width="24" customWidth="1"/>
  </x:cols>
  <x:sheetData>
    <x:row r="1">
      <x:c r="A1" s="1" t="inlineStr">
        <x:is>
          <x:t xml:space="preserve">Data Dictionary</x:t>
        </x:is>
      </x:c>
    </x:row>
    <x:row r="2">
      <x:c r="A2" s="2" t="inlineStr">
        <x:is>
          <x:t xml:space="preserve">Use this when you are unsure what a field means.</x:t>
        </x:is>
      </x:c>
    </x:row>
    <x:row r="3" ht="28" customHeight="1">
      <x:c r="A3" s="3" t="inlineStr">
        <x:is>
          <x:t xml:space="preserve">Table</x:t>
        </x:is>
      </x:c>
      <x:c r="B3" s="3" t="inlineStr">
        <x:is>
          <x:t xml:space="preserve">Field</x:t>
        </x:is>
      </x:c>
      <x:c r="C3" s="3" t="inlineStr">
        <x:is>
          <x:t xml:space="preserve">Meaning</x:t>
        </x:is>
      </x:c>
      <x:c r="D3" s="3" t="inlineStr">
        <x:is>
          <x:t xml:space="preserve">Common use</x:t>
        </x:is>
      </x:c>
    </x:row>
    <x:row r="4" ht="28" customHeight="1">
      <x:c r="A4" s="3" t="n"/>
      <x:c r="B4" s="3" t="n"/>
      <x:c r="C4" s="3" t="n"/>
      <x:c r="D4" s="3" t="n"/>
    </x:row>
    <x:row r="5" ht="32" customHeight="1">
      <x:c r="A5" s="4" t="inlineStr">
        <x:is>
          <x:t xml:space="preserve">Dim_Developers</x:t>
        </x:is>
      </x:c>
      <x:c r="B5" s="4" t="inlineStr">
        <x:is>
          <x:t xml:space="preserve">developer_id</x:t>
        </x:is>
      </x:c>
      <x:c r="C5" s="4" t="inlineStr">
        <x:is>
          <x:t xml:space="preserve">Unique developer identifier used across tables.</x:t>
        </x:is>
      </x:c>
      <x:c r="D5" s="4" t="inlineStr">
        <x:is>
          <x:t xml:space="preserve">Join key</x:t>
        </x:is>
      </x:c>
    </x:row>
    <x:row r="6" ht="32" customHeight="1">
      <x:c r="A6" s="4" t="inlineStr">
        <x:is>
          <x:t xml:space="preserve">Dim_Developers</x:t>
        </x:is>
      </x:c>
      <x:c r="B6" s="4" t="inlineStr">
        <x:is>
          <x:t xml:space="preserve">manager_name</x:t>
        </x:is>
      </x:c>
      <x:c r="C6" s="4" t="inlineStr">
        <x:is>
          <x:t xml:space="preserve">Manager or team lead name.</x:t>
        </x:is>
      </x:c>
      <x:c r="D6" s="4" t="inlineStr">
        <x:is>
          <x:t xml:space="preserve">Manager summary</x:t>
        </x:is>
      </x:c>
    </x:row>
    <x:row r="7" ht="32" customHeight="1">
      <x:c r="A7" s="4" t="inlineStr">
        <x:is>
          <x:t xml:space="preserve">Fact_Jira_Issues</x:t>
        </x:is>
      </x:c>
      <x:c r="B7" s="4" t="inlineStr">
        <x:is>
          <x:t xml:space="preserve">in_progress_at</x:t>
        </x:is>
      </x:c>
      <x:c r="C7" s="4" t="inlineStr">
        <x:is>
          <x:t xml:space="preserve">When active development started on the issue.</x:t>
        </x:is>
      </x:c>
      <x:c r="D7" s="4" t="inlineStr">
        <x:is>
          <x:t xml:space="preserve">Cycle time</x:t>
        </x:is>
      </x:c>
    </x:row>
    <x:row r="8" ht="32" customHeight="1">
      <x:c r="A8" s="4" t="inlineStr">
        <x:is>
          <x:t xml:space="preserve">Fact_Jira_Issues</x:t>
        </x:is>
      </x:c>
      <x:c r="B8" s="4" t="inlineStr">
        <x:is>
          <x:t xml:space="preserve">done_at</x:t>
        </x:is>
      </x:c>
      <x:c r="C8" s="4" t="inlineStr">
        <x:is>
          <x:t xml:space="preserve">When the issue was completed.</x:t>
        </x:is>
      </x:c>
      <x:c r="D8" s="4" t="inlineStr">
        <x:is>
          <x:t xml:space="preserve">Cycle time, completed issue count</x:t>
        </x:is>
      </x:c>
    </x:row>
    <x:row r="9" ht="32" customHeight="1">
      <x:c r="A9" s="4" t="inlineStr">
        <x:is>
          <x:t xml:space="preserve">Fact_Jira_Issues</x:t>
        </x:is>
      </x:c>
      <x:c r="B9" s="4" t="inlineStr">
        <x:is>
          <x:t xml:space="preserve">cycle_time_days</x:t>
        </x:is>
      </x:c>
      <x:c r="C9" s="4" t="inlineStr">
        <x:is>
          <x:t xml:space="preserve">Helper column = done_at - in_progress_at.</x:t>
        </x:is>
      </x:c>
      <x:c r="D9" s="4" t="inlineStr">
        <x:is>
          <x:t xml:space="preserve">Cycle time</x:t>
        </x:is>
      </x:c>
    </x:row>
    <x:row r="10" ht="32" customHeight="1">
      <x:c r="A10" s="4" t="inlineStr">
        <x:is>
          <x:t xml:space="preserve">Fact_Pull_Requests</x:t>
        </x:is>
      </x:c>
      <x:c r="B10" s="4" t="inlineStr">
        <x:is>
          <x:t xml:space="preserve">opened_at</x:t>
        </x:is>
      </x:c>
      <x:c r="C10" s="4" t="inlineStr">
        <x:is>
          <x:t xml:space="preserve">When the pull request was opened.</x:t>
        </x:is>
      </x:c>
      <x:c r="D10" s="4" t="inlineStr">
        <x:is>
          <x:t xml:space="preserve">Lead time</x:t>
        </x:is>
      </x:c>
    </x:row>
    <x:row r="11" ht="32" customHeight="1">
      <x:c r="A11" s="4" t="inlineStr">
        <x:is>
          <x:t xml:space="preserve">Fact_Pull_Requests</x:t>
        </x:is>
      </x:c>
      <x:c r="B11" s="4" t="inlineStr">
        <x:is>
          <x:t xml:space="preserve">first_review_at</x:t>
        </x:is>
      </x:c>
      <x:c r="C11" s="4" t="inlineStr">
        <x:is>
          <x:t xml:space="preserve">When first review feedback arrived.</x:t>
        </x:is>
      </x:c>
      <x:c r="D11" s="4" t="inlineStr">
        <x:is>
          <x:t xml:space="preserve">Review delay</x:t>
        </x:is>
      </x:c>
    </x:row>
    <x:row r="12" ht="32" customHeight="1">
      <x:c r="A12" s="4" t="inlineStr">
        <x:is>
          <x:t xml:space="preserve">Fact_Pull_Requests</x:t>
        </x:is>
      </x:c>
      <x:c r="B12" s="4" t="inlineStr">
        <x:is>
          <x:t xml:space="preserve">merged_at</x:t>
        </x:is>
      </x:c>
      <x:c r="C12" s="4" t="inlineStr">
        <x:is>
          <x:t xml:space="preserve">When the PR merged.</x:t>
        </x:is>
      </x:c>
      <x:c r="D12" s="4" t="inlineStr">
        <x:is>
          <x:t xml:space="preserve">Lead time, PR throughput</x:t>
        </x:is>
      </x:c>
    </x:row>
    <x:row r="13" ht="32" customHeight="1">
      <x:c r="A13" s="4" t="inlineStr">
        <x:is>
          <x:t xml:space="preserve">Fact_Pull_Requests</x:t>
        </x:is>
      </x:c>
      <x:c r="B13" s="4" t="inlineStr">
        <x:is>
          <x:t xml:space="preserve">review_wait_hours</x:t>
        </x:is>
      </x:c>
      <x:c r="C13" s="4" t="inlineStr">
        <x:is>
          <x:t xml:space="preserve">Helper column = first_review_at - opened_at.</x:t>
        </x:is>
      </x:c>
      <x:c r="D13" s="4" t="inlineStr">
        <x:is>
          <x:t xml:space="preserve">Reasoning layer</x:t>
        </x:is>
      </x:c>
    </x:row>
    <x:row r="14" ht="32" customHeight="1">
      <x:c r="A14" s="4" t="inlineStr">
        <x:is>
          <x:t xml:space="preserve">Fact_CI_Deployments</x:t>
        </x:is>
      </x:c>
      <x:c r="B14" s="4" t="inlineStr">
        <x:is>
          <x:t xml:space="preserve">completed_at</x:t>
        </x:is>
      </x:c>
      <x:c r="C14" s="4" t="inlineStr">
        <x:is>
          <x:t xml:space="preserve">When the production deployment completed.</x:t>
        </x:is>
      </x:c>
      <x:c r="D14" s="4" t="inlineStr">
        <x:is>
          <x:t xml:space="preserve">Lead time, deployment frequency</x:t>
        </x:is>
      </x:c>
    </x:row>
    <x:row r="15" ht="32" customHeight="1">
      <x:c r="A15" s="4" t="inlineStr">
        <x:is>
          <x:t xml:space="preserve">Fact_CI_Deployments</x:t>
        </x:is>
      </x:c>
      <x:c r="B15" s="4" t="inlineStr">
        <x:is>
          <x:t xml:space="preserve">lead_time_days</x:t>
        </x:is>
      </x:c>
      <x:c r="C15" s="4" t="inlineStr">
        <x:is>
          <x:t xml:space="preserve">Helper column = deployment completed_at - PR opened_at.</x:t>
        </x:is>
      </x:c>
      <x:c r="D15" s="4" t="inlineStr">
        <x:is>
          <x:t xml:space="preserve">Lead time</x:t>
        </x:is>
      </x:c>
    </x:row>
    <x:row r="16" ht="32" customHeight="1">
      <x:c r="A16" s="4" t="inlineStr">
        <x:is>
          <x:t xml:space="preserve">Fact_Bug_Reports</x:t>
        </x:is>
      </x:c>
      <x:c r="B16" s="4" t="inlineStr">
        <x:is>
          <x:t xml:space="preserve">escaped_to_prod</x:t>
        </x:is>
      </x:c>
      <x:c r="C16" s="4" t="inlineStr">
        <x:is>
          <x:t xml:space="preserve">Whether the bug was found after release.</x:t>
        </x:is>
      </x:c>
      <x:c r="D16" s="4" t="inlineStr">
        <x:is>
          <x:t xml:space="preserve">Bug-rate numerator</x:t>
        </x:is>
      </x:c>
    </x:row>
    <x:row r="17" ht="32" customHeight="1">
      <x:c r="A17" s="4" t="inlineStr">
        <x:is>
          <x:t xml:space="preserve">Fact_Bug_Reports</x:t>
        </x:is>
      </x:c>
      <x:c r="B17" s="4" t="inlineStr">
        <x:is>
          <x:t xml:space="preserve">month_found</x:t>
        </x:is>
      </x:c>
      <x:c r="C17" s="4" t="inlineStr">
        <x:is>
          <x:t xml:space="preserve">Month when the bug was found.</x:t>
        </x:is>
      </x:c>
      <x:c r="D17" s="4" t="inlineStr">
        <x:is>
          <x:t xml:space="preserve">Monthly grouping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0c52c92e8da04e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10" customWidth="1"/>
    <x:col min="4" max="4" width="16" customWidth="1"/>
    <x:col min="5" max="5" width="18" customWidth="1"/>
    <x:col min="6" max="6" width="12" customWidth="1"/>
    <x:col min="7" max="7" width="10" customWidth="1"/>
  </x:cols>
  <x:sheetData>
    <x:row r="1" ht="28" customHeight="1">
      <x:c r="A1" s="3" t="inlineStr">
        <x:is>
          <x:t xml:space="preserve">developer_id</x:t>
        </x:is>
      </x:c>
      <x:c r="B1" s="3" t="inlineStr">
        <x:is>
          <x:t xml:space="preserve">developer_name</x:t>
        </x:is>
      </x:c>
      <x:c r="C1" s="3" t="inlineStr">
        <x:is>
          <x:t xml:space="preserve">manager_id</x:t>
        </x:is>
      </x:c>
      <x:c r="D1" s="3" t="inlineStr">
        <x:is>
          <x:t xml:space="preserve">manager_name</x:t>
        </x:is>
      </x:c>
      <x:c r="E1" s="3" t="inlineStr">
        <x:is>
          <x:t xml:space="preserve">team_name</x:t>
        </x:is>
      </x:c>
      <x:c r="F1" s="3" t="inlineStr">
        <x:is>
          <x:t xml:space="preserve">service_type</x:t>
        </x:is>
      </x:c>
      <x:c r="G1" s="3" t="inlineStr">
        <x:is>
          <x:t xml:space="preserve">level</x:t>
        </x:is>
      </x:c>
    </x:row>
    <x:row r="2" ht="22" customHeight="1">
      <x:c r="A2" s="4" t="inlineStr">
        <x:is>
          <x:t xml:space="preserve">DEV-001</x:t>
        </x:is>
      </x:c>
      <x:c r="B2" s="4" t="inlineStr">
        <x:is>
          <x:t xml:space="preserve">Ava Chen</x:t>
        </x:is>
      </x:c>
      <x:c r="C2" s="4" t="inlineStr">
        <x:is>
          <x:t xml:space="preserve">MGR-01</x:t>
        </x:is>
      </x:c>
      <x:c r="D2" s="4" t="inlineStr">
        <x:is>
          <x:t xml:space="preserve">Rina Kapoor</x:t>
        </x:is>
      </x:c>
      <x:c r="E2" s="4" t="inlineStr">
        <x:is>
          <x:t xml:space="preserve">Payments API</x:t>
        </x:is>
      </x:c>
      <x:c r="F2" s="4" t="inlineStr">
        <x:is>
          <x:t xml:space="preserve">backend</x:t>
        </x:is>
      </x:c>
      <x:c r="G2" s="4" t="inlineStr">
        <x:is>
          <x:t xml:space="preserve">SDE2</x:t>
        </x:is>
      </x:c>
    </x:row>
    <x:row r="3" ht="22" customHeight="1">
      <x:c r="A3" s="4" t="inlineStr">
        <x:is>
          <x:t xml:space="preserve">DEV-002</x:t>
        </x:is>
      </x:c>
      <x:c r="B3" s="4" t="inlineStr">
        <x:is>
          <x:t xml:space="preserve">Noah Patel</x:t>
        </x:is>
      </x:c>
      <x:c r="C3" s="4" t="inlineStr">
        <x:is>
          <x:t xml:space="preserve">MGR-01</x:t>
        </x:is>
      </x:c>
      <x:c r="D3" s="4" t="inlineStr">
        <x:is>
          <x:t xml:space="preserve">Rina Kapoor</x:t>
        </x:is>
      </x:c>
      <x:c r="E3" s="4" t="inlineStr">
        <x:is>
          <x:t xml:space="preserve">Payments API</x:t>
        </x:is>
      </x:c>
      <x:c r="F3" s="4" t="inlineStr">
        <x:is>
          <x:t xml:space="preserve">backend</x:t>
        </x:is>
      </x:c>
      <x:c r="G3" s="4" t="inlineStr">
        <x:is>
          <x:t xml:space="preserve">SDE1</x:t>
        </x:is>
      </x:c>
    </x:row>
    <x:row r="4" ht="22" customHeight="1">
      <x:c r="A4" s="4" t="inlineStr">
        <x:is>
          <x:t xml:space="preserve">DEV-006</x:t>
        </x:is>
      </x:c>
      <x:c r="B4" s="4" t="inlineStr">
        <x:is>
          <x:t xml:space="preserve">Ishan Mehta</x:t>
        </x:is>
      </x:c>
      <x:c r="C4" s="4" t="inlineStr">
        <x:is>
          <x:t xml:space="preserve">MGR-01</x:t>
        </x:is>
      </x:c>
      <x:c r="D4" s="4" t="inlineStr">
        <x:is>
          <x:t xml:space="preserve">Rina Kapoor</x:t>
        </x:is>
      </x:c>
      <x:c r="E4" s="4" t="inlineStr">
        <x:is>
          <x:t xml:space="preserve">Payments API</x:t>
        </x:is>
      </x:c>
      <x:c r="F4" s="4" t="inlineStr">
        <x:is>
          <x:t xml:space="preserve">backend</x:t>
        </x:is>
      </x:c>
      <x:c r="G4" s="4" t="inlineStr">
        <x:is>
          <x:t xml:space="preserve">SDE3</x:t>
        </x:is>
      </x:c>
    </x:row>
    <x:row r="5" ht="22" customHeight="1">
      <x:c r="A5" s="4" t="inlineStr">
        <x:is>
          <x:t xml:space="preserve">DEV-003</x:t>
        </x:is>
      </x:c>
      <x:c r="B5" s="4" t="inlineStr">
        <x:is>
          <x:t xml:space="preserve">Mia Lopez</x:t>
        </x:is>
      </x:c>
      <x:c r="C5" s="4" t="inlineStr">
        <x:is>
          <x:t xml:space="preserve">MGR-02</x:t>
        </x:is>
      </x:c>
      <x:c r="D5" s="4" t="inlineStr">
        <x:is>
          <x:t xml:space="preserve">Samir Gupta</x:t>
        </x:is>
      </x:c>
      <x:c r="E5" s="4" t="inlineStr">
        <x:is>
          <x:t xml:space="preserve">Checkout Web</x:t>
        </x:is>
      </x:c>
      <x:c r="F5" s="4" t="inlineStr">
        <x:is>
          <x:t xml:space="preserve">frontend</x:t>
        </x:is>
      </x:c>
      <x:c r="G5" s="4" t="inlineStr">
        <x:is>
          <x:t xml:space="preserve">SDE1</x:t>
        </x:is>
      </x:c>
    </x:row>
    <x:row r="6" ht="22" customHeight="1">
      <x:c r="A6" s="4" t="inlineStr">
        <x:is>
          <x:t xml:space="preserve">DEV-004</x:t>
        </x:is>
      </x:c>
      <x:c r="B6" s="4" t="inlineStr">
        <x:is>
          <x:t xml:space="preserve">Lucas Reed</x:t>
        </x:is>
      </x:c>
      <x:c r="C6" s="4" t="inlineStr">
        <x:is>
          <x:t xml:space="preserve">MGR-02</x:t>
        </x:is>
      </x:c>
      <x:c r="D6" s="4" t="inlineStr">
        <x:is>
          <x:t xml:space="preserve">Samir Gupta</x:t>
        </x:is>
      </x:c>
      <x:c r="E6" s="4" t="inlineStr">
        <x:is>
          <x:t xml:space="preserve">Checkout Web</x:t>
        </x:is>
      </x:c>
      <x:c r="F6" s="4" t="inlineStr">
        <x:is>
          <x:t xml:space="preserve">frontend</x:t>
        </x:is>
      </x:c>
      <x:c r="G6" s="4" t="inlineStr">
        <x:is>
          <x:t xml:space="preserve">SDE2</x:t>
        </x:is>
      </x:c>
    </x:row>
    <x:row r="7" ht="22" customHeight="1">
      <x:c r="A7" s="4" t="inlineStr">
        <x:is>
          <x:t xml:space="preserve">DEV-008</x:t>
        </x:is>
      </x:c>
      <x:c r="B7" s="4" t="inlineStr">
        <x:is>
          <x:t xml:space="preserve">Zara Khan</x:t>
        </x:is>
      </x:c>
      <x:c r="C7" s="4" t="inlineStr">
        <x:is>
          <x:t xml:space="preserve">MGR-02</x:t>
        </x:is>
      </x:c>
      <x:c r="D7" s="4" t="inlineStr">
        <x:is>
          <x:t xml:space="preserve">Samir Gupta</x:t>
        </x:is>
      </x:c>
      <x:c r="E7" s="4" t="inlineStr">
        <x:is>
          <x:t xml:space="preserve">Checkout Web</x:t>
        </x:is>
      </x:c>
      <x:c r="F7" s="4" t="inlineStr">
        <x:is>
          <x:t xml:space="preserve">frontend</x:t>
        </x:is>
      </x:c>
      <x:c r="G7" s="4" t="inlineStr">
        <x:is>
          <x:t xml:space="preserve">SDE1</x:t>
        </x:is>
      </x:c>
    </x:row>
    <x:row r="8" ht="22" customHeight="1">
      <x:c r="A8" s="4" t="inlineStr">
        <x:is>
          <x:t xml:space="preserve">DEV-005</x:t>
        </x:is>
      </x:c>
      <x:c r="B8" s="4" t="inlineStr">
        <x:is>
          <x:t xml:space="preserve">Emma Roy</x:t>
        </x:is>
      </x:c>
      <x:c r="C8" s="4" t="inlineStr">
        <x:is>
          <x:t xml:space="preserve">MGR-03</x:t>
        </x:is>
      </x:c>
      <x:c r="D8" s="4" t="inlineStr">
        <x:is>
          <x:t xml:space="preserve">Priya Nair</x:t>
        </x:is>
      </x:c>
      <x:c r="E8" s="4" t="inlineStr">
        <x:is>
          <x:t xml:space="preserve">Mobile Growth</x:t>
        </x:is>
      </x:c>
      <x:c r="F8" s="4" t="inlineStr">
        <x:is>
          <x:t xml:space="preserve">mobile</x:t>
        </x:is>
      </x:c>
      <x:c r="G8" s="4" t="inlineStr">
        <x:is>
          <x:t xml:space="preserve">SDE1</x:t>
        </x:is>
      </x:c>
    </x:row>
    <x:row r="9" ht="22" customHeight="1">
      <x:c r="A9" s="4" t="inlineStr">
        <x:is>
          <x:t xml:space="preserve">DEV-007</x:t>
        </x:is>
      </x:c>
      <x:c r="B9" s="4" t="inlineStr">
        <x:is>
          <x:t xml:space="preserve">Owen Brooks</x:t>
        </x:is>
      </x:c>
      <x:c r="C9" s="4" t="inlineStr">
        <x:is>
          <x:t xml:space="preserve">MGR-03</x:t>
        </x:is>
      </x:c>
      <x:c r="D9" s="4" t="inlineStr">
        <x:is>
          <x:t xml:space="preserve">Priya Nair</x:t>
        </x:is>
      </x:c>
      <x:c r="E9" s="4" t="inlineStr">
        <x:is>
          <x:t xml:space="preserve">Mobile Growth</x:t>
        </x:is>
      </x:c>
      <x:c r="F9" s="4" t="inlineStr">
        <x:is>
          <x:t xml:space="preserve">mobile</x:t>
        </x:is>
      </x:c>
      <x:c r="G9" s="4" t="inlineStr">
        <x:is>
          <x:t xml:space="preserve">SDE2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ed0613590eb46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6" customWidth="1"/>
    <x:col min="4" max="4" width="10" customWidth="1"/>
    <x:col min="5" max="5" width="18" customWidth="1"/>
    <x:col min="6" max="6" width="12" customWidth="1"/>
    <x:col min="7" max="7" width="14" customWidth="1"/>
    <x:col min="8" max="8" width="12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0" customWidth="1"/>
    <x:col min="14" max="14" width="12" customWidth="1"/>
    <x:col min="15" max="15" width="14" customWidth="1"/>
  </x:cols>
  <x:sheetData>
    <x:row r="1" ht="28" customHeight="1">
      <x:c r="A1" s="3" t="inlineStr">
        <x:is>
          <x:t xml:space="preserve">issue_id</x:t>
        </x:is>
      </x:c>
      <x:c r="B1" s="3" t="inlineStr">
        <x:is>
          <x:t xml:space="preserve">developer_id</x:t>
        </x:is>
      </x:c>
      <x:c r="C1" s="3" t="inlineStr">
        <x:is>
          <x:t xml:space="preserve">developer_name</x:t>
        </x:is>
      </x:c>
      <x:c r="D1" s="3" t="inlineStr">
        <x:is>
          <x:t xml:space="preserve">manager_id</x:t>
        </x:is>
      </x:c>
      <x:c r="E1" s="3" t="inlineStr">
        <x:is>
          <x:t xml:space="preserve">team_name</x:t>
        </x:is>
      </x:c>
      <x:c r="F1" s="3" t="inlineStr">
        <x:is>
          <x:t xml:space="preserve">service_type</x:t>
        </x:is>
      </x:c>
      <x:c r="G1" s="3" t="inlineStr">
        <x:is>
          <x:t xml:space="preserve">issue_type</x:t>
        </x:is>
      </x:c>
      <x:c r="H1" s="3" t="inlineStr">
        <x:is>
          <x:t xml:space="preserve">story_points</x:t>
        </x:is>
      </x:c>
      <x:c r="I1" s="3" t="inlineStr">
        <x:is>
          <x:t xml:space="preserve">created_at</x:t>
        </x:is>
      </x:c>
      <x:c r="J1" s="3" t="inlineStr">
        <x:is>
          <x:t xml:space="preserve">in_progress_at</x:t>
        </x:is>
      </x:c>
      <x:c r="K1" s="3" t="inlineStr">
        <x:is>
          <x:t xml:space="preserve">code_complete_at</x:t>
        </x:is>
      </x:c>
      <x:c r="L1" s="3" t="inlineStr">
        <x:is>
          <x:t xml:space="preserve">done_at</x:t>
        </x:is>
      </x:c>
      <x:c r="M1" s="3" t="inlineStr">
        <x:is>
          <x:t xml:space="preserve">status</x:t>
        </x:is>
      </x:c>
      <x:c r="N1" s="3" t="inlineStr">
        <x:is>
          <x:t xml:space="preserve">month_done</x:t>
        </x:is>
      </x:c>
      <x:c r="O1" s="3" t="inlineStr">
        <x:is>
          <x:t xml:space="preserve">cycle_time_days</x:t>
        </x:is>
      </x:c>
    </x:row>
    <x:row r="2" ht="22" customHeight="1">
      <x:c r="A2" s="4" t="inlineStr">
        <x:is>
          <x:t xml:space="preserve">JIRA-001</x:t>
        </x:is>
      </x:c>
      <x:c r="B2" s="4" t="inlineStr">
        <x:is>
          <x:t xml:space="preserve">DEV-001</x:t>
        </x:is>
      </x:c>
      <x:c r="C2" s="4" t="inlineStr">
        <x:is>
          <x:t xml:space="preserve">Ava Chen</x:t>
        </x:is>
      </x:c>
      <x:c r="D2" s="4" t="inlineStr">
        <x:is>
          <x:t xml:space="preserve">MGR-01</x:t>
        </x:is>
      </x:c>
      <x:c r="E2" s="4" t="inlineStr">
        <x:is>
          <x:t xml:space="preserve">Payments API</x:t>
        </x:is>
      </x:c>
      <x:c r="F2" s="4" t="inlineStr">
        <x:is>
          <x:t xml:space="preserve">backend</x:t>
        </x:is>
      </x:c>
      <x:c r="G2" s="4" t="inlineStr">
        <x:is>
          <x:t xml:space="preserve">Story</x:t>
        </x:is>
      </x:c>
      <x:c r="H2" s="4" t="n">
        <x:v>2</x:v>
      </x:c>
      <x:c r="I2" s="18" t="n">
        <x:v>46102</x:v>
      </x:c>
      <x:c r="J2" s="18" t="n">
        <x:v>46102</x:v>
      </x:c>
      <x:c r="K2" s="18" t="n">
        <x:v>46106.2</x:v>
      </x:c>
      <x:c r="L2" s="18" t="n">
        <x:v>46106.2</x:v>
      </x:c>
      <x:c r="M2" s="4" t="inlineStr">
        <x:is>
          <x:t xml:space="preserve">Done</x:t>
        </x:is>
      </x:c>
      <x:c r="N2" s="4" t="inlineStr">
        <x:is>
          <x:t xml:space="preserve">2026-03</x:t>
        </x:is>
      </x:c>
      <x:c r="O2" s="19" t="n">
        <x:v>4.2</x:v>
      </x:c>
    </x:row>
    <x:row r="3" ht="22" customHeight="1">
      <x:c r="A3" s="4" t="inlineStr">
        <x:is>
          <x:t xml:space="preserve">JIRA-002</x:t>
        </x:is>
      </x:c>
      <x:c r="B3" s="4" t="inlineStr">
        <x:is>
          <x:t xml:space="preserve">DEV-001</x:t>
        </x:is>
      </x:c>
      <x:c r="C3" s="4" t="inlineStr">
        <x:is>
          <x:t xml:space="preserve">Ava Chen</x:t>
        </x:is>
      </x:c>
      <x:c r="D3" s="4" t="inlineStr">
        <x:is>
          <x:t xml:space="preserve">MGR-01</x:t>
        </x:is>
      </x:c>
      <x:c r="E3" s="4" t="inlineStr">
        <x:is>
          <x:t xml:space="preserve">Payments API</x:t>
        </x:is>
      </x:c>
      <x:c r="F3" s="4" t="inlineStr">
        <x:is>
          <x:t xml:space="preserve">backend</x:t>
        </x:is>
      </x:c>
      <x:c r="G3" s="4" t="inlineStr">
        <x:is>
          <x:t xml:space="preserve">Story</x:t>
        </x:is>
      </x:c>
      <x:c r="H3" s="4" t="n">
        <x:v>5</x:v>
      </x:c>
      <x:c r="I3" s="18" t="n">
        <x:v>46085</x:v>
      </x:c>
      <x:c r="J3" s="18" t="n">
        <x:v>46085</x:v>
      </x:c>
      <x:c r="K3" s="18" t="n">
        <x:v>46087.7</x:v>
      </x:c>
      <x:c r="L3" s="18" t="n">
        <x:v>46088.7</x:v>
      </x:c>
      <x:c r="M3" s="4" t="inlineStr">
        <x:is>
          <x:t xml:space="preserve">Done</x:t>
        </x:is>
      </x:c>
      <x:c r="N3" s="4" t="inlineStr">
        <x:is>
          <x:t xml:space="preserve">2026-03</x:t>
        </x:is>
      </x:c>
      <x:c r="O3" s="19" t="n">
        <x:v>3.7</x:v>
      </x:c>
    </x:row>
    <x:row r="4" ht="22" customHeight="1">
      <x:c r="A4" s="4" t="inlineStr">
        <x:is>
          <x:t xml:space="preserve">JIRA-003</x:t>
        </x:is>
      </x:c>
      <x:c r="B4" s="4" t="inlineStr">
        <x:is>
          <x:t xml:space="preserve">DEV-001</x:t>
        </x:is>
      </x:c>
      <x:c r="C4" s="4" t="inlineStr">
        <x:is>
          <x:t xml:space="preserve">Ava Chen</x:t>
        </x:is>
      </x:c>
      <x:c r="D4" s="4" t="inlineStr">
        <x:is>
          <x:t xml:space="preserve">MGR-01</x:t>
        </x:is>
      </x:c>
      <x:c r="E4" s="4" t="inlineStr">
        <x:is>
          <x:t xml:space="preserve">Payments API</x:t>
        </x:is>
      </x:c>
      <x:c r="F4" s="4" t="inlineStr">
        <x:is>
          <x:t xml:space="preserve">backend</x:t>
        </x:is>
      </x:c>
      <x:c r="G4" s="4" t="inlineStr">
        <x:is>
          <x:t xml:space="preserve">Task</x:t>
        </x:is>
      </x:c>
      <x:c r="H4" s="4" t="n">
        <x:v>2</x:v>
      </x:c>
      <x:c r="I4" s="18" t="n">
        <x:v>46123</x:v>
      </x:c>
      <x:c r="J4" s="18" t="n">
        <x:v>46123</x:v>
      </x:c>
      <x:c r="K4" s="18" t="n">
        <x:v>46125.9</x:v>
      </x:c>
      <x:c r="L4" s="18" t="n">
        <x:v>46126.9</x:v>
      </x:c>
      <x:c r="M4" s="4" t="inlineStr">
        <x:is>
          <x:t xml:space="preserve">Done</x:t>
        </x:is>
      </x:c>
      <x:c r="N4" s="4" t="inlineStr">
        <x:is>
          <x:t xml:space="preserve">2026-04</x:t>
        </x:is>
      </x:c>
      <x:c r="O4" s="19" t="n">
        <x:v>3.9</x:v>
      </x:c>
    </x:row>
    <x:row r="5" ht="22" customHeight="1">
      <x:c r="A5" s="4" t="inlineStr">
        <x:is>
          <x:t xml:space="preserve">JIRA-004</x:t>
        </x:is>
      </x:c>
      <x:c r="B5" s="4" t="inlineStr">
        <x:is>
          <x:t xml:space="preserve">DEV-001</x:t>
        </x:is>
      </x:c>
      <x:c r="C5" s="4" t="inlineStr">
        <x:is>
          <x:t xml:space="preserve">Ava Chen</x:t>
        </x:is>
      </x:c>
      <x:c r="D5" s="4" t="inlineStr">
        <x:is>
          <x:t xml:space="preserve">MGR-01</x:t>
        </x:is>
      </x:c>
      <x:c r="E5" s="4" t="inlineStr">
        <x:is>
          <x:t xml:space="preserve">Payments API</x:t>
        </x:is>
      </x:c>
      <x:c r="F5" s="4" t="inlineStr">
        <x:is>
          <x:t xml:space="preserve">backend</x:t>
        </x:is>
      </x:c>
      <x:c r="G5" s="4" t="inlineStr">
        <x:is>
          <x:t xml:space="preserve">Story</x:t>
        </x:is>
      </x:c>
      <x:c r="H5" s="4" t="n">
        <x:v>3</x:v>
      </x:c>
      <x:c r="I5" s="18" t="n">
        <x:v>46127</x:v>
      </x:c>
      <x:c r="J5" s="18" t="n">
        <x:v>46127</x:v>
      </x:c>
      <x:c r="K5" s="18" t="n">
        <x:v>46130.9</x:v>
      </x:c>
      <x:c r="L5" s="18" t="n">
        <x:v>46130.9</x:v>
      </x:c>
      <x:c r="M5" s="4" t="inlineStr">
        <x:is>
          <x:t xml:space="preserve">Done</x:t>
        </x:is>
      </x:c>
      <x:c r="N5" s="4" t="inlineStr">
        <x:is>
          <x:t xml:space="preserve">2026-04</x:t>
        </x:is>
      </x:c>
      <x:c r="O5" s="19" t="n">
        <x:v>3.9</x:v>
      </x:c>
    </x:row>
    <x:row r="6" ht="22" customHeight="1">
      <x:c r="A6" s="4" t="inlineStr">
        <x:is>
          <x:t xml:space="preserve">JIRA-005</x:t>
        </x:is>
      </x:c>
      <x:c r="B6" s="4" t="inlineStr">
        <x:is>
          <x:t xml:space="preserve">DEV-002</x:t>
        </x:is>
      </x:c>
      <x:c r="C6" s="4" t="inlineStr">
        <x:is>
          <x:t xml:space="preserve">Noah Patel</x:t>
        </x:is>
      </x:c>
      <x:c r="D6" s="4" t="inlineStr">
        <x:is>
          <x:t xml:space="preserve">MGR-01</x:t>
        </x:is>
      </x:c>
      <x:c r="E6" s="4" t="inlineStr">
        <x:is>
          <x:t xml:space="preserve">Payments API</x:t>
        </x:is>
      </x:c>
      <x:c r="F6" s="4" t="inlineStr">
        <x:is>
          <x:t xml:space="preserve">backend</x:t>
        </x:is>
      </x:c>
      <x:c r="G6" s="4" t="inlineStr">
        <x:is>
          <x:t xml:space="preserve">Task</x:t>
        </x:is>
      </x:c>
      <x:c r="H6" s="4" t="n">
        <x:v>3</x:v>
      </x:c>
      <x:c r="I6" s="18" t="n">
        <x:v>46087</x:v>
      </x:c>
      <x:c r="J6" s="18" t="n">
        <x:v>46088</x:v>
      </x:c>
      <x:c r="K6" s="18" t="n">
        <x:v>46092.7</x:v>
      </x:c>
      <x:c r="L6" s="18" t="n">
        <x:v>46092.7</x:v>
      </x:c>
      <x:c r="M6" s="4" t="inlineStr">
        <x:is>
          <x:t xml:space="preserve">Done</x:t>
        </x:is>
      </x:c>
      <x:c r="N6" s="4" t="inlineStr">
        <x:is>
          <x:t xml:space="preserve">2026-03</x:t>
        </x:is>
      </x:c>
      <x:c r="O6" s="19" t="n">
        <x:v>4.7</x:v>
      </x:c>
    </x:row>
    <x:row r="7" ht="22" customHeight="1">
      <x:c r="A7" s="4" t="inlineStr">
        <x:is>
          <x:t xml:space="preserve">JIRA-006</x:t>
        </x:is>
      </x:c>
      <x:c r="B7" s="4" t="inlineStr">
        <x:is>
          <x:t xml:space="preserve">DEV-002</x:t>
        </x:is>
      </x:c>
      <x:c r="C7" s="4" t="inlineStr">
        <x:is>
          <x:t xml:space="preserve">Noah Patel</x:t>
        </x:is>
      </x:c>
      <x:c r="D7" s="4" t="inlineStr">
        <x:is>
          <x:t xml:space="preserve">MGR-01</x:t>
        </x:is>
      </x:c>
      <x:c r="E7" s="4" t="inlineStr">
        <x:is>
          <x:t xml:space="preserve">Payments API</x:t>
        </x:is>
      </x:c>
      <x:c r="F7" s="4" t="inlineStr">
        <x:is>
          <x:t xml:space="preserve">backend</x:t>
        </x:is>
      </x:c>
      <x:c r="G7" s="4" t="inlineStr">
        <x:is>
          <x:t xml:space="preserve">Improvement</x:t>
        </x:is>
      </x:c>
      <x:c r="H7" s="4" t="n">
        <x:v>5</x:v>
      </x:c>
      <x:c r="I7" s="18" t="n">
        <x:v>46095</x:v>
      </x:c>
      <x:c r="J7" s="18" t="n">
        <x:v>46095</x:v>
      </x:c>
      <x:c r="K7" s="18" t="n">
        <x:v>46102.1</x:v>
      </x:c>
      <x:c r="L7" s="18" t="n">
        <x:v>46102.1</x:v>
      </x:c>
      <x:c r="M7" s="4" t="inlineStr">
        <x:is>
          <x:t xml:space="preserve">Done</x:t>
        </x:is>
      </x:c>
      <x:c r="N7" s="4" t="inlineStr">
        <x:is>
          <x:t xml:space="preserve">2026-03</x:t>
        </x:is>
      </x:c>
      <x:c r="O7" s="19" t="n">
        <x:v>7.1</x:v>
      </x:c>
    </x:row>
    <x:row r="8" ht="22" customHeight="1">
      <x:c r="A8" s="4" t="inlineStr">
        <x:is>
          <x:t xml:space="preserve">JIRA-007</x:t>
        </x:is>
      </x:c>
      <x:c r="B8" s="4" t="inlineStr">
        <x:is>
          <x:t xml:space="preserve">DEV-002</x:t>
        </x:is>
      </x:c>
      <x:c r="C8" s="4" t="inlineStr">
        <x:is>
          <x:t xml:space="preserve">Noah Patel</x:t>
        </x:is>
      </x:c>
      <x:c r="D8" s="4" t="inlineStr">
        <x:is>
          <x:t xml:space="preserve">MGR-01</x:t>
        </x:is>
      </x:c>
      <x:c r="E8" s="4" t="inlineStr">
        <x:is>
          <x:t xml:space="preserve">Payments API</x:t>
        </x:is>
      </x:c>
      <x:c r="F8" s="4" t="inlineStr">
        <x:is>
          <x:t xml:space="preserve">backend</x:t>
        </x:is>
      </x:c>
      <x:c r="G8" s="4" t="inlineStr">
        <x:is>
          <x:t xml:space="preserve">Task</x:t>
        </x:is>
      </x:c>
      <x:c r="H8" s="4" t="n">
        <x:v>8</x:v>
      </x:c>
      <x:c r="I8" s="18" t="n">
        <x:v>46121</x:v>
      </x:c>
      <x:c r="J8" s="18" t="n">
        <x:v>46121</x:v>
      </x:c>
      <x:c r="K8" s="18" t="n">
        <x:v>46125.4</x:v>
      </x:c>
      <x:c r="L8" s="18" t="n">
        <x:v>46126.4</x:v>
      </x:c>
      <x:c r="M8" s="4" t="inlineStr">
        <x:is>
          <x:t xml:space="preserve">Done</x:t>
        </x:is>
      </x:c>
      <x:c r="N8" s="4" t="inlineStr">
        <x:is>
          <x:t xml:space="preserve">2026-04</x:t>
        </x:is>
      </x:c>
      <x:c r="O8" s="19" t="n">
        <x:v>5.4</x:v>
      </x:c>
    </x:row>
    <x:row r="9" ht="22" customHeight="1">
      <x:c r="A9" s="4" t="inlineStr">
        <x:is>
          <x:t xml:space="preserve">JIRA-008</x:t>
        </x:is>
      </x:c>
      <x:c r="B9" s="4" t="inlineStr">
        <x:is>
          <x:t xml:space="preserve">DEV-002</x:t>
        </x:is>
      </x:c>
      <x:c r="C9" s="4" t="inlineStr">
        <x:is>
          <x:t xml:space="preserve">Noah Patel</x:t>
        </x:is>
      </x:c>
      <x:c r="D9" s="4" t="inlineStr">
        <x:is>
          <x:t xml:space="preserve">MGR-01</x:t>
        </x:is>
      </x:c>
      <x:c r="E9" s="4" t="inlineStr">
        <x:is>
          <x:t xml:space="preserve">Payments API</x:t>
        </x:is>
      </x:c>
      <x:c r="F9" s="4" t="inlineStr">
        <x:is>
          <x:t xml:space="preserve">backend</x:t>
        </x:is>
      </x:c>
      <x:c r="G9" s="4" t="inlineStr">
        <x:is>
          <x:t xml:space="preserve">Story</x:t>
        </x:is>
      </x:c>
      <x:c r="H9" s="4" t="n">
        <x:v>2</x:v>
      </x:c>
      <x:c r="I9" s="18" t="n">
        <x:v>46128</x:v>
      </x:c>
      <x:c r="J9" s="18" t="n">
        <x:v>46129</x:v>
      </x:c>
      <x:c r="K9" s="18" t="n">
        <x:v>46133.4</x:v>
      </x:c>
      <x:c r="L9" s="18" t="n">
        <x:v>46134.4</x:v>
      </x:c>
      <x:c r="M9" s="4" t="inlineStr">
        <x:is>
          <x:t xml:space="preserve">Done</x:t>
        </x:is>
      </x:c>
      <x:c r="N9" s="4" t="inlineStr">
        <x:is>
          <x:t xml:space="preserve">2026-04</x:t>
        </x:is>
      </x:c>
      <x:c r="O9" s="19" t="n">
        <x:v>5.4</x:v>
      </x:c>
    </x:row>
    <x:row r="10" ht="22" customHeight="1">
      <x:c r="A10" s="4" t="inlineStr">
        <x:is>
          <x:t xml:space="preserve">JIRA-009</x:t>
        </x:is>
      </x:c>
      <x:c r="B10" s="4" t="inlineStr">
        <x:is>
          <x:t xml:space="preserve">DEV-006</x:t>
        </x:is>
      </x:c>
      <x:c r="C10" s="4" t="inlineStr">
        <x:is>
          <x:t xml:space="preserve">Ishan Mehta</x:t>
        </x:is>
      </x:c>
      <x:c r="D10" s="4" t="inlineStr">
        <x:is>
          <x:t xml:space="preserve">MGR-01</x:t>
        </x:is>
      </x:c>
      <x:c r="E10" s="4" t="inlineStr">
        <x:is>
          <x:t xml:space="preserve">Payments API</x:t>
        </x:is>
      </x:c>
      <x:c r="F10" s="4" t="inlineStr">
        <x:is>
          <x:t xml:space="preserve">backend</x:t>
        </x:is>
      </x:c>
      <x:c r="G10" s="4" t="inlineStr">
        <x:is>
          <x:t xml:space="preserve">Improvement</x:t>
        </x:is>
      </x:c>
      <x:c r="H10" s="4" t="n">
        <x:v>3</x:v>
      </x:c>
      <x:c r="I10" s="18" t="n">
        <x:v>46096</x:v>
      </x:c>
      <x:c r="J10" s="18" t="n">
        <x:v>46096</x:v>
      </x:c>
      <x:c r="K10" s="18" t="n">
        <x:v>46099.7</x:v>
      </x:c>
      <x:c r="L10" s="18" t="n">
        <x:v>46100.7</x:v>
      </x:c>
      <x:c r="M10" s="4" t="inlineStr">
        <x:is>
          <x:t xml:space="preserve">Done</x:t>
        </x:is>
      </x:c>
      <x:c r="N10" s="4" t="inlineStr">
        <x:is>
          <x:t xml:space="preserve">2026-03</x:t>
        </x:is>
      </x:c>
      <x:c r="O10" s="19" t="n">
        <x:v>4.7</x:v>
      </x:c>
    </x:row>
    <x:row r="11" ht="22" customHeight="1">
      <x:c r="A11" s="4" t="inlineStr">
        <x:is>
          <x:t xml:space="preserve">JIRA-010</x:t>
        </x:is>
      </x:c>
      <x:c r="B11" s="4" t="inlineStr">
        <x:is>
          <x:t xml:space="preserve">DEV-006</x:t>
        </x:is>
      </x:c>
      <x:c r="C11" s="4" t="inlineStr">
        <x:is>
          <x:t xml:space="preserve">Ishan Mehta</x:t>
        </x:is>
      </x:c>
      <x:c r="D11" s="4" t="inlineStr">
        <x:is>
          <x:t xml:space="preserve">MGR-01</x:t>
        </x:is>
      </x:c>
      <x:c r="E11" s="4" t="inlineStr">
        <x:is>
          <x:t xml:space="preserve">Payments API</x:t>
        </x:is>
      </x:c>
      <x:c r="F11" s="4" t="inlineStr">
        <x:is>
          <x:t xml:space="preserve">backend</x:t>
        </x:is>
      </x:c>
      <x:c r="G11" s="4" t="inlineStr">
        <x:is>
          <x:t xml:space="preserve">Story</x:t>
        </x:is>
      </x:c>
      <x:c r="H11" s="4" t="n">
        <x:v>2</x:v>
      </x:c>
      <x:c r="I11" s="18" t="n">
        <x:v>46101</x:v>
      </x:c>
      <x:c r="J11" s="18" t="n">
        <x:v>46101</x:v>
      </x:c>
      <x:c r="K11" s="18" t="n">
        <x:v>46102.8</x:v>
      </x:c>
      <x:c r="L11" s="18" t="n">
        <x:v>46103.8</x:v>
      </x:c>
      <x:c r="M11" s="4" t="inlineStr">
        <x:is>
          <x:t xml:space="preserve">Done</x:t>
        </x:is>
      </x:c>
      <x:c r="N11" s="4" t="inlineStr">
        <x:is>
          <x:t xml:space="preserve">2026-03</x:t>
        </x:is>
      </x:c>
      <x:c r="O11" s="19" t="n">
        <x:v>2.8</x:v>
      </x:c>
    </x:row>
    <x:row r="12" ht="22" customHeight="1">
      <x:c r="A12" s="4" t="inlineStr">
        <x:is>
          <x:t xml:space="preserve">JIRA-011</x:t>
        </x:is>
      </x:c>
      <x:c r="B12" s="4" t="inlineStr">
        <x:is>
          <x:t xml:space="preserve">DEV-006</x:t>
        </x:is>
      </x:c>
      <x:c r="C12" s="4" t="inlineStr">
        <x:is>
          <x:t xml:space="preserve">Ishan Mehta</x:t>
        </x:is>
      </x:c>
      <x:c r="D12" s="4" t="inlineStr">
        <x:is>
          <x:t xml:space="preserve">MGR-01</x:t>
        </x:is>
      </x:c>
      <x:c r="E12" s="4" t="inlineStr">
        <x:is>
          <x:t xml:space="preserve">Payments API</x:t>
        </x:is>
      </x:c>
      <x:c r="F12" s="4" t="inlineStr">
        <x:is>
          <x:t xml:space="preserve">backend</x:t>
        </x:is>
      </x:c>
      <x:c r="G12" s="4" t="inlineStr">
        <x:is>
          <x:t xml:space="preserve">Story</x:t>
        </x:is>
      </x:c>
      <x:c r="H12" s="4" t="n">
        <x:v>8</x:v>
      </x:c>
      <x:c r="I12" s="18" t="n">
        <x:v>46115</x:v>
      </x:c>
      <x:c r="J12" s="18" t="n">
        <x:v>46116</x:v>
      </x:c>
      <x:c r="K12" s="18" t="n">
        <x:v>46120</x:v>
      </x:c>
      <x:c r="L12" s="18" t="n">
        <x:v>46120</x:v>
      </x:c>
      <x:c r="M12" s="4" t="inlineStr">
        <x:is>
          <x:t xml:space="preserve">Done</x:t>
        </x:is>
      </x:c>
      <x:c r="N12" s="4" t="inlineStr">
        <x:is>
          <x:t xml:space="preserve">2026-04</x:t>
        </x:is>
      </x:c>
      <x:c r="O12" s="19" t="n">
        <x:v>4</x:v>
      </x:c>
    </x:row>
    <x:row r="13" ht="22" customHeight="1">
      <x:c r="A13" s="4" t="inlineStr">
        <x:is>
          <x:t xml:space="preserve">JIRA-012</x:t>
        </x:is>
      </x:c>
      <x:c r="B13" s="4" t="inlineStr">
        <x:is>
          <x:t xml:space="preserve">DEV-006</x:t>
        </x:is>
      </x:c>
      <x:c r="C13" s="4" t="inlineStr">
        <x:is>
          <x:t xml:space="preserve">Ishan Mehta</x:t>
        </x:is>
      </x:c>
      <x:c r="D13" s="4" t="inlineStr">
        <x:is>
          <x:t xml:space="preserve">MGR-01</x:t>
        </x:is>
      </x:c>
      <x:c r="E13" s="4" t="inlineStr">
        <x:is>
          <x:t xml:space="preserve">Payments API</x:t>
        </x:is>
      </x:c>
      <x:c r="F13" s="4" t="inlineStr">
        <x:is>
          <x:t xml:space="preserve">backend</x:t>
        </x:is>
      </x:c>
      <x:c r="G13" s="4" t="inlineStr">
        <x:is>
          <x:t xml:space="preserve">Story</x:t>
        </x:is>
      </x:c>
      <x:c r="H13" s="4" t="n">
        <x:v>8</x:v>
      </x:c>
      <x:c r="I13" s="18" t="n">
        <x:v>46125</x:v>
      </x:c>
      <x:c r="J13" s="18" t="n">
        <x:v>46126</x:v>
      </x:c>
      <x:c r="K13" s="18" t="n">
        <x:v>46128.4</x:v>
      </x:c>
      <x:c r="L13" s="18" t="n">
        <x:v>46129.4</x:v>
      </x:c>
      <x:c r="M13" s="4" t="inlineStr">
        <x:is>
          <x:t xml:space="preserve">Done</x:t>
        </x:is>
      </x:c>
      <x:c r="N13" s="4" t="inlineStr">
        <x:is>
          <x:t xml:space="preserve">2026-04</x:t>
        </x:is>
      </x:c>
      <x:c r="O13" s="19" t="n">
        <x:v>3.4</x:v>
      </x:c>
    </x:row>
    <x:row r="14" ht="22" customHeight="1">
      <x:c r="A14" s="4" t="inlineStr">
        <x:is>
          <x:t xml:space="preserve">JIRA-013</x:t>
        </x:is>
      </x:c>
      <x:c r="B14" s="4" t="inlineStr">
        <x:is>
          <x:t xml:space="preserve">DEV-003</x:t>
        </x:is>
      </x:c>
      <x:c r="C14" s="4" t="inlineStr">
        <x:is>
          <x:t xml:space="preserve">Mia Lopez</x:t>
        </x:is>
      </x:c>
      <x:c r="D14" s="4" t="inlineStr">
        <x:is>
          <x:t xml:space="preserve">MGR-02</x:t>
        </x:is>
      </x:c>
      <x:c r="E14" s="4" t="inlineStr">
        <x:is>
          <x:t xml:space="preserve">Checkout Web</x:t>
        </x:is>
      </x:c>
      <x:c r="F14" s="4" t="inlineStr">
        <x:is>
          <x:t xml:space="preserve">frontend</x:t>
        </x:is>
      </x:c>
      <x:c r="G14" s="4" t="inlineStr">
        <x:is>
          <x:t xml:space="preserve">Task</x:t>
        </x:is>
      </x:c>
      <x:c r="H14" s="4" t="n">
        <x:v>8</x:v>
      </x:c>
      <x:c r="I14" s="18" t="n">
        <x:v>46084</x:v>
      </x:c>
      <x:c r="J14" s="18" t="n">
        <x:v>46084</x:v>
      </x:c>
      <x:c r="K14" s="18" t="n">
        <x:v>46087.6</x:v>
      </x:c>
      <x:c r="L14" s="18" t="n">
        <x:v>46087.6</x:v>
      </x:c>
      <x:c r="M14" s="4" t="inlineStr">
        <x:is>
          <x:t xml:space="preserve">Done</x:t>
        </x:is>
      </x:c>
      <x:c r="N14" s="4" t="inlineStr">
        <x:is>
          <x:t xml:space="preserve">2026-03</x:t>
        </x:is>
      </x:c>
      <x:c r="O14" s="19" t="n">
        <x:v>3.6</x:v>
      </x:c>
    </x:row>
    <x:row r="15" ht="22" customHeight="1">
      <x:c r="A15" s="4" t="inlineStr">
        <x:is>
          <x:t xml:space="preserve">JIRA-014</x:t>
        </x:is>
      </x:c>
      <x:c r="B15" s="4" t="inlineStr">
        <x:is>
          <x:t xml:space="preserve">DEV-003</x:t>
        </x:is>
      </x:c>
      <x:c r="C15" s="4" t="inlineStr">
        <x:is>
          <x:t xml:space="preserve">Mia Lopez</x:t>
        </x:is>
      </x:c>
      <x:c r="D15" s="4" t="inlineStr">
        <x:is>
          <x:t xml:space="preserve">MGR-02</x:t>
        </x:is>
      </x:c>
      <x:c r="E15" s="4" t="inlineStr">
        <x:is>
          <x:t xml:space="preserve">Checkout Web</x:t>
        </x:is>
      </x:c>
      <x:c r="F15" s="4" t="inlineStr">
        <x:is>
          <x:t xml:space="preserve">frontend</x:t>
        </x:is>
      </x:c>
      <x:c r="G15" s="4" t="inlineStr">
        <x:is>
          <x:t xml:space="preserve">Story</x:t>
        </x:is>
      </x:c>
      <x:c r="H15" s="4" t="n">
        <x:v>5</x:v>
      </x:c>
      <x:c r="I15" s="18" t="n">
        <x:v>46086</x:v>
      </x:c>
      <x:c r="J15" s="18" t="n">
        <x:v>46086</x:v>
      </x:c>
      <x:c r="K15" s="18" t="n">
        <x:v>46090.5</x:v>
      </x:c>
      <x:c r="L15" s="18" t="n">
        <x:v>46090.5</x:v>
      </x:c>
      <x:c r="M15" s="4" t="inlineStr">
        <x:is>
          <x:t xml:space="preserve">Done</x:t>
        </x:is>
      </x:c>
      <x:c r="N15" s="4" t="inlineStr">
        <x:is>
          <x:t xml:space="preserve">2026-03</x:t>
        </x:is>
      </x:c>
      <x:c r="O15" s="19" t="n">
        <x:v>4.5</x:v>
      </x:c>
    </x:row>
    <x:row r="16" ht="22" customHeight="1">
      <x:c r="A16" s="4" t="inlineStr">
        <x:is>
          <x:t xml:space="preserve">JIRA-015</x:t>
        </x:is>
      </x:c>
      <x:c r="B16" s="4" t="inlineStr">
        <x:is>
          <x:t xml:space="preserve">DEV-003</x:t>
        </x:is>
      </x:c>
      <x:c r="C16" s="4" t="inlineStr">
        <x:is>
          <x:t xml:space="preserve">Mia Lopez</x:t>
        </x:is>
      </x:c>
      <x:c r="D16" s="4" t="inlineStr">
        <x:is>
          <x:t xml:space="preserve">MGR-02</x:t>
        </x:is>
      </x:c>
      <x:c r="E16" s="4" t="inlineStr">
        <x:is>
          <x:t xml:space="preserve">Checkout Web</x:t>
        </x:is>
      </x:c>
      <x:c r="F16" s="4" t="inlineStr">
        <x:is>
          <x:t xml:space="preserve">frontend</x:t>
        </x:is>
      </x:c>
      <x:c r="G16" s="4" t="inlineStr">
        <x:is>
          <x:t xml:space="preserve">Story</x:t>
        </x:is>
      </x:c>
      <x:c r="H16" s="4" t="n">
        <x:v>2</x:v>
      </x:c>
      <x:c r="I16" s="18" t="n">
        <x:v>46120</x:v>
      </x:c>
      <x:c r="J16" s="18" t="n">
        <x:v>46120</x:v>
      </x:c>
      <x:c r="K16" s="18" t="n">
        <x:v>46122.3</x:v>
      </x:c>
      <x:c r="L16" s="18" t="n">
        <x:v>46122.3</x:v>
      </x:c>
      <x:c r="M16" s="4" t="inlineStr">
        <x:is>
          <x:t xml:space="preserve">Done</x:t>
        </x:is>
      </x:c>
      <x:c r="N16" s="4" t="inlineStr">
        <x:is>
          <x:t xml:space="preserve">2026-04</x:t>
        </x:is>
      </x:c>
      <x:c r="O16" s="19" t="n">
        <x:v>2.3</x:v>
      </x:c>
    </x:row>
    <x:row r="17" ht="22" customHeight="1">
      <x:c r="A17" s="4" t="inlineStr">
        <x:is>
          <x:t xml:space="preserve">JIRA-016</x:t>
        </x:is>
      </x:c>
      <x:c r="B17" s="4" t="inlineStr">
        <x:is>
          <x:t xml:space="preserve">DEV-003</x:t>
        </x:is>
      </x:c>
      <x:c r="C17" s="4" t="inlineStr">
        <x:is>
          <x:t xml:space="preserve">Mia Lopez</x:t>
        </x:is>
      </x:c>
      <x:c r="D17" s="4" t="inlineStr">
        <x:is>
          <x:t xml:space="preserve">MGR-02</x:t>
        </x:is>
      </x:c>
      <x:c r="E17" s="4" t="inlineStr">
        <x:is>
          <x:t xml:space="preserve">Checkout Web</x:t>
        </x:is>
      </x:c>
      <x:c r="F17" s="4" t="inlineStr">
        <x:is>
          <x:t xml:space="preserve">frontend</x:t>
        </x:is>
      </x:c>
      <x:c r="G17" s="4" t="inlineStr">
        <x:is>
          <x:t xml:space="preserve">Improvement</x:t>
        </x:is>
      </x:c>
      <x:c r="H17" s="4" t="n">
        <x:v>8</x:v>
      </x:c>
      <x:c r="I17" s="18" t="n">
        <x:v>46116</x:v>
      </x:c>
      <x:c r="J17" s="18" t="n">
        <x:v>46117</x:v>
      </x:c>
      <x:c r="K17" s="18" t="n">
        <x:v>46119.8</x:v>
      </x:c>
      <x:c r="L17" s="18" t="n">
        <x:v>46120.8</x:v>
      </x:c>
      <x:c r="M17" s="4" t="inlineStr">
        <x:is>
          <x:t xml:space="preserve">Done</x:t>
        </x:is>
      </x:c>
      <x:c r="N17" s="4" t="inlineStr">
        <x:is>
          <x:t xml:space="preserve">2026-04</x:t>
        </x:is>
      </x:c>
      <x:c r="O17" s="19" t="n">
        <x:v>3.8</x:v>
      </x:c>
    </x:row>
    <x:row r="18" ht="22" customHeight="1">
      <x:c r="A18" s="4" t="inlineStr">
        <x:is>
          <x:t xml:space="preserve">JIRA-017</x:t>
        </x:is>
      </x:c>
      <x:c r="B18" s="4" t="inlineStr">
        <x:is>
          <x:t xml:space="preserve">DEV-004</x:t>
        </x:is>
      </x:c>
      <x:c r="C18" s="4" t="inlineStr">
        <x:is>
          <x:t xml:space="preserve">Lucas Reed</x:t>
        </x:is>
      </x:c>
      <x:c r="D18" s="4" t="inlineStr">
        <x:is>
          <x:t xml:space="preserve">MGR-02</x:t>
        </x:is>
      </x:c>
      <x:c r="E18" s="4" t="inlineStr">
        <x:is>
          <x:t xml:space="preserve">Checkout Web</x:t>
        </x:is>
      </x:c>
      <x:c r="F18" s="4" t="inlineStr">
        <x:is>
          <x:t xml:space="preserve">frontend</x:t>
        </x:is>
      </x:c>
      <x:c r="G18" s="4" t="inlineStr">
        <x:is>
          <x:t xml:space="preserve">Story</x:t>
        </x:is>
      </x:c>
      <x:c r="H18" s="4" t="n">
        <x:v>3</x:v>
      </x:c>
      <x:c r="I18" s="18" t="n">
        <x:v>46083</x:v>
      </x:c>
      <x:c r="J18" s="18" t="n">
        <x:v>46083</x:v>
      </x:c>
      <x:c r="K18" s="18" t="n">
        <x:v>46086.2</x:v>
      </x:c>
      <x:c r="L18" s="18" t="n">
        <x:v>46087.2</x:v>
      </x:c>
      <x:c r="M18" s="4" t="inlineStr">
        <x:is>
          <x:t xml:space="preserve">Done</x:t>
        </x:is>
      </x:c>
      <x:c r="N18" s="4" t="inlineStr">
        <x:is>
          <x:t xml:space="preserve">2026-03</x:t>
        </x:is>
      </x:c>
      <x:c r="O18" s="19" t="n">
        <x:v>4.2</x:v>
      </x:c>
    </x:row>
    <x:row r="19" ht="22" customHeight="1">
      <x:c r="A19" s="4" t="inlineStr">
        <x:is>
          <x:t xml:space="preserve">JIRA-018</x:t>
        </x:is>
      </x:c>
      <x:c r="B19" s="4" t="inlineStr">
        <x:is>
          <x:t xml:space="preserve">DEV-004</x:t>
        </x:is>
      </x:c>
      <x:c r="C19" s="4" t="inlineStr">
        <x:is>
          <x:t xml:space="preserve">Lucas Reed</x:t>
        </x:is>
      </x:c>
      <x:c r="D19" s="4" t="inlineStr">
        <x:is>
          <x:t xml:space="preserve">MGR-02</x:t>
        </x:is>
      </x:c>
      <x:c r="E19" s="4" t="inlineStr">
        <x:is>
          <x:t xml:space="preserve">Checkout Web</x:t>
        </x:is>
      </x:c>
      <x:c r="F19" s="4" t="inlineStr">
        <x:is>
          <x:t xml:space="preserve">frontend</x:t>
        </x:is>
      </x:c>
      <x:c r="G19" s="4" t="inlineStr">
        <x:is>
          <x:t xml:space="preserve">Task</x:t>
        </x:is>
      </x:c>
      <x:c r="H19" s="4" t="n">
        <x:v>8</x:v>
      </x:c>
      <x:c r="I19" s="18" t="n">
        <x:v>46103</x:v>
      </x:c>
      <x:c r="J19" s="18" t="n">
        <x:v>46103</x:v>
      </x:c>
      <x:c r="K19" s="18" t="n">
        <x:v>46106.5</x:v>
      </x:c>
      <x:c r="L19" s="18" t="n">
        <x:v>46106.5</x:v>
      </x:c>
      <x:c r="M19" s="4" t="inlineStr">
        <x:is>
          <x:t xml:space="preserve">Done</x:t>
        </x:is>
      </x:c>
      <x:c r="N19" s="4" t="inlineStr">
        <x:is>
          <x:t xml:space="preserve">2026-03</x:t>
        </x:is>
      </x:c>
      <x:c r="O19" s="19" t="n">
        <x:v>3.5</x:v>
      </x:c>
    </x:row>
    <x:row r="20" ht="22" customHeight="1">
      <x:c r="A20" s="4" t="inlineStr">
        <x:is>
          <x:t xml:space="preserve">JIRA-019</x:t>
        </x:is>
      </x:c>
      <x:c r="B20" s="4" t="inlineStr">
        <x:is>
          <x:t xml:space="preserve">DEV-004</x:t>
        </x:is>
      </x:c>
      <x:c r="C20" s="4" t="inlineStr">
        <x:is>
          <x:t xml:space="preserve">Lucas Reed</x:t>
        </x:is>
      </x:c>
      <x:c r="D20" s="4" t="inlineStr">
        <x:is>
          <x:t xml:space="preserve">MGR-02</x:t>
        </x:is>
      </x:c>
      <x:c r="E20" s="4" t="inlineStr">
        <x:is>
          <x:t xml:space="preserve">Checkout Web</x:t>
        </x:is>
      </x:c>
      <x:c r="F20" s="4" t="inlineStr">
        <x:is>
          <x:t xml:space="preserve">frontend</x:t>
        </x:is>
      </x:c>
      <x:c r="G20" s="4" t="inlineStr">
        <x:is>
          <x:t xml:space="preserve">Story</x:t>
        </x:is>
      </x:c>
      <x:c r="H20" s="4" t="n">
        <x:v>2</x:v>
      </x:c>
      <x:c r="I20" s="18" t="n">
        <x:v>46133</x:v>
      </x:c>
      <x:c r="J20" s="18" t="n">
        <x:v>46134</x:v>
      </x:c>
      <x:c r="K20" s="18" t="n">
        <x:v>46136.4</x:v>
      </x:c>
      <x:c r="L20" s="18" t="n">
        <x:v>46136.4</x:v>
      </x:c>
      <x:c r="M20" s="4" t="inlineStr">
        <x:is>
          <x:t xml:space="preserve">Done</x:t>
        </x:is>
      </x:c>
      <x:c r="N20" s="4" t="inlineStr">
        <x:is>
          <x:t xml:space="preserve">2026-04</x:t>
        </x:is>
      </x:c>
      <x:c r="O20" s="19" t="n">
        <x:v>2.4</x:v>
      </x:c>
    </x:row>
    <x:row r="21" ht="22" customHeight="1">
      <x:c r="A21" s="4" t="inlineStr">
        <x:is>
          <x:t xml:space="preserve">JIRA-020</x:t>
        </x:is>
      </x:c>
      <x:c r="B21" s="4" t="inlineStr">
        <x:is>
          <x:t xml:space="preserve">DEV-004</x:t>
        </x:is>
      </x:c>
      <x:c r="C21" s="4" t="inlineStr">
        <x:is>
          <x:t xml:space="preserve">Lucas Reed</x:t>
        </x:is>
      </x:c>
      <x:c r="D21" s="4" t="inlineStr">
        <x:is>
          <x:t xml:space="preserve">MGR-02</x:t>
        </x:is>
      </x:c>
      <x:c r="E21" s="4" t="inlineStr">
        <x:is>
          <x:t xml:space="preserve">Checkout Web</x:t>
        </x:is>
      </x:c>
      <x:c r="F21" s="4" t="inlineStr">
        <x:is>
          <x:t xml:space="preserve">frontend</x:t>
        </x:is>
      </x:c>
      <x:c r="G21" s="4" t="inlineStr">
        <x:is>
          <x:t xml:space="preserve">Task</x:t>
        </x:is>
      </x:c>
      <x:c r="H21" s="4" t="n">
        <x:v>2</x:v>
      </x:c>
      <x:c r="I21" s="18" t="n">
        <x:v>46121</x:v>
      </x:c>
      <x:c r="J21" s="18" t="n">
        <x:v>46122</x:v>
      </x:c>
      <x:c r="K21" s="18" t="n">
        <x:v>46125.7</x:v>
      </x:c>
      <x:c r="L21" s="18" t="n">
        <x:v>46126.7</x:v>
      </x:c>
      <x:c r="M21" s="4" t="inlineStr">
        <x:is>
          <x:t xml:space="preserve">Done</x:t>
        </x:is>
      </x:c>
      <x:c r="N21" s="4" t="inlineStr">
        <x:is>
          <x:t xml:space="preserve">2026-04</x:t>
        </x:is>
      </x:c>
      <x:c r="O21" s="19" t="n">
        <x:v>4.7</x:v>
      </x:c>
    </x:row>
    <x:row r="22" ht="22" customHeight="1">
      <x:c r="A22" s="4" t="inlineStr">
        <x:is>
          <x:t xml:space="preserve">JIRA-021</x:t>
        </x:is>
      </x:c>
      <x:c r="B22" s="4" t="inlineStr">
        <x:is>
          <x:t xml:space="preserve">DEV-008</x:t>
        </x:is>
      </x:c>
      <x:c r="C22" s="4" t="inlineStr">
        <x:is>
          <x:t xml:space="preserve">Zara Khan</x:t>
        </x:is>
      </x:c>
      <x:c r="D22" s="4" t="inlineStr">
        <x:is>
          <x:t xml:space="preserve">MGR-02</x:t>
        </x:is>
      </x:c>
      <x:c r="E22" s="4" t="inlineStr">
        <x:is>
          <x:t xml:space="preserve">Checkout Web</x:t>
        </x:is>
      </x:c>
      <x:c r="F22" s="4" t="inlineStr">
        <x:is>
          <x:t xml:space="preserve">frontend</x:t>
        </x:is>
      </x:c>
      <x:c r="G22" s="4" t="inlineStr">
        <x:is>
          <x:t xml:space="preserve">Story</x:t>
        </x:is>
      </x:c>
      <x:c r="H22" s="4" t="n">
        <x:v>5</x:v>
      </x:c>
      <x:c r="I22" s="18" t="n">
        <x:v>46086</x:v>
      </x:c>
      <x:c r="J22" s="18" t="n">
        <x:v>46087</x:v>
      </x:c>
      <x:c r="K22" s="18" t="n">
        <x:v>46090.3</x:v>
      </x:c>
      <x:c r="L22" s="18" t="n">
        <x:v>46091.3</x:v>
      </x:c>
      <x:c r="M22" s="4" t="inlineStr">
        <x:is>
          <x:t xml:space="preserve">Done</x:t>
        </x:is>
      </x:c>
      <x:c r="N22" s="4" t="inlineStr">
        <x:is>
          <x:t xml:space="preserve">2026-03</x:t>
        </x:is>
      </x:c>
      <x:c r="O22" s="19" t="n">
        <x:v>4.3</x:v>
      </x:c>
    </x:row>
    <x:row r="23" ht="22" customHeight="1">
      <x:c r="A23" s="4" t="inlineStr">
        <x:is>
          <x:t xml:space="preserve">JIRA-022</x:t>
        </x:is>
      </x:c>
      <x:c r="B23" s="4" t="inlineStr">
        <x:is>
          <x:t xml:space="preserve">DEV-008</x:t>
        </x:is>
      </x:c>
      <x:c r="C23" s="4" t="inlineStr">
        <x:is>
          <x:t xml:space="preserve">Zara Khan</x:t>
        </x:is>
      </x:c>
      <x:c r="D23" s="4" t="inlineStr">
        <x:is>
          <x:t xml:space="preserve">MGR-02</x:t>
        </x:is>
      </x:c>
      <x:c r="E23" s="4" t="inlineStr">
        <x:is>
          <x:t xml:space="preserve">Checkout Web</x:t>
        </x:is>
      </x:c>
      <x:c r="F23" s="4" t="inlineStr">
        <x:is>
          <x:t xml:space="preserve">frontend</x:t>
        </x:is>
      </x:c>
      <x:c r="G23" s="4" t="inlineStr">
        <x:is>
          <x:t xml:space="preserve">Task</x:t>
        </x:is>
      </x:c>
      <x:c r="H23" s="4" t="n">
        <x:v>8</x:v>
      </x:c>
      <x:c r="I23" s="18" t="n">
        <x:v>46089</x:v>
      </x:c>
      <x:c r="J23" s="18" t="n">
        <x:v>46090</x:v>
      </x:c>
      <x:c r="K23" s="18" t="n">
        <x:v>46093.3</x:v>
      </x:c>
      <x:c r="L23" s="18" t="n">
        <x:v>46093.3</x:v>
      </x:c>
      <x:c r="M23" s="4" t="inlineStr">
        <x:is>
          <x:t xml:space="preserve">Done</x:t>
        </x:is>
      </x:c>
      <x:c r="N23" s="4" t="inlineStr">
        <x:is>
          <x:t xml:space="preserve">2026-03</x:t>
        </x:is>
      </x:c>
      <x:c r="O23" s="19" t="n">
        <x:v>3.3</x:v>
      </x:c>
    </x:row>
    <x:row r="24" ht="22" customHeight="1">
      <x:c r="A24" s="4" t="inlineStr">
        <x:is>
          <x:t xml:space="preserve">JIRA-023</x:t>
        </x:is>
      </x:c>
      <x:c r="B24" s="4" t="inlineStr">
        <x:is>
          <x:t xml:space="preserve">DEV-008</x:t>
        </x:is>
      </x:c>
      <x:c r="C24" s="4" t="inlineStr">
        <x:is>
          <x:t xml:space="preserve">Zara Khan</x:t>
        </x:is>
      </x:c>
      <x:c r="D24" s="4" t="inlineStr">
        <x:is>
          <x:t xml:space="preserve">MGR-02</x:t>
        </x:is>
      </x:c>
      <x:c r="E24" s="4" t="inlineStr">
        <x:is>
          <x:t xml:space="preserve">Checkout Web</x:t>
        </x:is>
      </x:c>
      <x:c r="F24" s="4" t="inlineStr">
        <x:is>
          <x:t xml:space="preserve">frontend</x:t>
        </x:is>
      </x:c>
      <x:c r="G24" s="4" t="inlineStr">
        <x:is>
          <x:t xml:space="preserve">Improvement</x:t>
        </x:is>
      </x:c>
      <x:c r="H24" s="4" t="n">
        <x:v>3</x:v>
      </x:c>
      <x:c r="I24" s="18" t="n">
        <x:v>46117</x:v>
      </x:c>
      <x:c r="J24" s="18" t="n">
        <x:v>46118</x:v>
      </x:c>
      <x:c r="K24" s="18" t="n">
        <x:v>46122.9</x:v>
      </x:c>
      <x:c r="L24" s="18" t="n">
        <x:v>46122.9</x:v>
      </x:c>
      <x:c r="M24" s="4" t="inlineStr">
        <x:is>
          <x:t xml:space="preserve">Done</x:t>
        </x:is>
      </x:c>
      <x:c r="N24" s="4" t="inlineStr">
        <x:is>
          <x:t xml:space="preserve">2026-04</x:t>
        </x:is>
      </x:c>
      <x:c r="O24" s="19" t="n">
        <x:v>4.9</x:v>
      </x:c>
    </x:row>
    <x:row r="25" ht="22" customHeight="1">
      <x:c r="A25" s="4" t="inlineStr">
        <x:is>
          <x:t xml:space="preserve">JIRA-024</x:t>
        </x:is>
      </x:c>
      <x:c r="B25" s="4" t="inlineStr">
        <x:is>
          <x:t xml:space="preserve">DEV-008</x:t>
        </x:is>
      </x:c>
      <x:c r="C25" s="4" t="inlineStr">
        <x:is>
          <x:t xml:space="preserve">Zara Khan</x:t>
        </x:is>
      </x:c>
      <x:c r="D25" s="4" t="inlineStr">
        <x:is>
          <x:t xml:space="preserve">MGR-02</x:t>
        </x:is>
      </x:c>
      <x:c r="E25" s="4" t="inlineStr">
        <x:is>
          <x:t xml:space="preserve">Checkout Web</x:t>
        </x:is>
      </x:c>
      <x:c r="F25" s="4" t="inlineStr">
        <x:is>
          <x:t xml:space="preserve">frontend</x:t>
        </x:is>
      </x:c>
      <x:c r="G25" s="4" t="inlineStr">
        <x:is>
          <x:t xml:space="preserve">Improvement</x:t>
        </x:is>
      </x:c>
      <x:c r="H25" s="4" t="n">
        <x:v>2</x:v>
      </x:c>
      <x:c r="I25" s="18" t="n">
        <x:v>46123</x:v>
      </x:c>
      <x:c r="J25" s="18" t="n">
        <x:v>46123</x:v>
      </x:c>
      <x:c r="K25" s="18" t="n">
        <x:v>46125.8</x:v>
      </x:c>
      <x:c r="L25" s="18" t="n">
        <x:v>46125.8</x:v>
      </x:c>
      <x:c r="M25" s="4" t="inlineStr">
        <x:is>
          <x:t xml:space="preserve">Done</x:t>
        </x:is>
      </x:c>
      <x:c r="N25" s="4" t="inlineStr">
        <x:is>
          <x:t xml:space="preserve">2026-04</x:t>
        </x:is>
      </x:c>
      <x:c r="O25" s="19" t="n">
        <x:v>2.8</x:v>
      </x:c>
    </x:row>
    <x:row r="26" ht="22" customHeight="1">
      <x:c r="A26" s="4" t="inlineStr">
        <x:is>
          <x:t xml:space="preserve">JIRA-025</x:t>
        </x:is>
      </x:c>
      <x:c r="B26" s="4" t="inlineStr">
        <x:is>
          <x:t xml:space="preserve">DEV-005</x:t>
        </x:is>
      </x:c>
      <x:c r="C26" s="4" t="inlineStr">
        <x:is>
          <x:t xml:space="preserve">Emma Roy</x:t>
        </x:is>
      </x:c>
      <x:c r="D26" s="4" t="inlineStr">
        <x:is>
          <x:t xml:space="preserve">MGR-03</x:t>
        </x:is>
      </x:c>
      <x:c r="E26" s="4" t="inlineStr">
        <x:is>
          <x:t xml:space="preserve">Mobile Growth</x:t>
        </x:is>
      </x:c>
      <x:c r="F26" s="4" t="inlineStr">
        <x:is>
          <x:t xml:space="preserve">mobile</x:t>
        </x:is>
      </x:c>
      <x:c r="G26" s="4" t="inlineStr">
        <x:is>
          <x:t xml:space="preserve">Story</x:t>
        </x:is>
      </x:c>
      <x:c r="H26" s="4" t="n">
        <x:v>3</x:v>
      </x:c>
      <x:c r="I26" s="18" t="n">
        <x:v>46096</x:v>
      </x:c>
      <x:c r="J26" s="18" t="n">
        <x:v>46097</x:v>
      </x:c>
      <x:c r="K26" s="18" t="n">
        <x:v>46102.3</x:v>
      </x:c>
      <x:c r="L26" s="18" t="n">
        <x:v>46102.3</x:v>
      </x:c>
      <x:c r="M26" s="4" t="inlineStr">
        <x:is>
          <x:t xml:space="preserve">Done</x:t>
        </x:is>
      </x:c>
      <x:c r="N26" s="4" t="inlineStr">
        <x:is>
          <x:t xml:space="preserve">2026-03</x:t>
        </x:is>
      </x:c>
      <x:c r="O26" s="19" t="n">
        <x:v>5.3</x:v>
      </x:c>
    </x:row>
    <x:row r="27" ht="22" customHeight="1">
      <x:c r="A27" s="4" t="inlineStr">
        <x:is>
          <x:t xml:space="preserve">JIRA-026</x:t>
        </x:is>
      </x:c>
      <x:c r="B27" s="4" t="inlineStr">
        <x:is>
          <x:t xml:space="preserve">DEV-005</x:t>
        </x:is>
      </x:c>
      <x:c r="C27" s="4" t="inlineStr">
        <x:is>
          <x:t xml:space="preserve">Emma Roy</x:t>
        </x:is>
      </x:c>
      <x:c r="D27" s="4" t="inlineStr">
        <x:is>
          <x:t xml:space="preserve">MGR-03</x:t>
        </x:is>
      </x:c>
      <x:c r="E27" s="4" t="inlineStr">
        <x:is>
          <x:t xml:space="preserve">Mobile Growth</x:t>
        </x:is>
      </x:c>
      <x:c r="F27" s="4" t="inlineStr">
        <x:is>
          <x:t xml:space="preserve">mobile</x:t>
        </x:is>
      </x:c>
      <x:c r="G27" s="4" t="inlineStr">
        <x:is>
          <x:t xml:space="preserve">Story</x:t>
        </x:is>
      </x:c>
      <x:c r="H27" s="4" t="n">
        <x:v>5</x:v>
      </x:c>
      <x:c r="I27" s="18" t="n">
        <x:v>46085</x:v>
      </x:c>
      <x:c r="J27" s="18" t="n">
        <x:v>46085</x:v>
      </x:c>
      <x:c r="K27" s="18" t="n">
        <x:v>46090.6</x:v>
      </x:c>
      <x:c r="L27" s="18" t="n">
        <x:v>46091.6</x:v>
      </x:c>
      <x:c r="M27" s="4" t="inlineStr">
        <x:is>
          <x:t xml:space="preserve">Done</x:t>
        </x:is>
      </x:c>
      <x:c r="N27" s="4" t="inlineStr">
        <x:is>
          <x:t xml:space="preserve">2026-03</x:t>
        </x:is>
      </x:c>
      <x:c r="O27" s="19" t="n">
        <x:v>6.6</x:v>
      </x:c>
    </x:row>
    <x:row r="28" ht="22" customHeight="1">
      <x:c r="A28" s="4" t="inlineStr">
        <x:is>
          <x:t xml:space="preserve">JIRA-027</x:t>
        </x:is>
      </x:c>
      <x:c r="B28" s="4" t="inlineStr">
        <x:is>
          <x:t xml:space="preserve">DEV-005</x:t>
        </x:is>
      </x:c>
      <x:c r="C28" s="4" t="inlineStr">
        <x:is>
          <x:t xml:space="preserve">Emma Roy</x:t>
        </x:is>
      </x:c>
      <x:c r="D28" s="4" t="inlineStr">
        <x:is>
          <x:t xml:space="preserve">MGR-03</x:t>
        </x:is>
      </x:c>
      <x:c r="E28" s="4" t="inlineStr">
        <x:is>
          <x:t xml:space="preserve">Mobile Growth</x:t>
        </x:is>
      </x:c>
      <x:c r="F28" s="4" t="inlineStr">
        <x:is>
          <x:t xml:space="preserve">mobile</x:t>
        </x:is>
      </x:c>
      <x:c r="G28" s="4" t="inlineStr">
        <x:is>
          <x:t xml:space="preserve">Story</x:t>
        </x:is>
      </x:c>
      <x:c r="H28" s="4" t="n">
        <x:v>3</x:v>
      </x:c>
      <x:c r="I28" s="18" t="n">
        <x:v>46131</x:v>
      </x:c>
      <x:c r="J28" s="18" t="n">
        <x:v>46131</x:v>
      </x:c>
      <x:c r="K28" s="18" t="n">
        <x:v>46136.8</x:v>
      </x:c>
      <x:c r="L28" s="18" t="n">
        <x:v>46136.8</x:v>
      </x:c>
      <x:c r="M28" s="4" t="inlineStr">
        <x:is>
          <x:t xml:space="preserve">Done</x:t>
        </x:is>
      </x:c>
      <x:c r="N28" s="4" t="inlineStr">
        <x:is>
          <x:t xml:space="preserve">2026-04</x:t>
        </x:is>
      </x:c>
      <x:c r="O28" s="19" t="n">
        <x:v>5.8</x:v>
      </x:c>
    </x:row>
    <x:row r="29" ht="22" customHeight="1">
      <x:c r="A29" s="4" t="inlineStr">
        <x:is>
          <x:t xml:space="preserve">JIRA-028</x:t>
        </x:is>
      </x:c>
      <x:c r="B29" s="4" t="inlineStr">
        <x:is>
          <x:t xml:space="preserve">DEV-005</x:t>
        </x:is>
      </x:c>
      <x:c r="C29" s="4" t="inlineStr">
        <x:is>
          <x:t xml:space="preserve">Emma Roy</x:t>
        </x:is>
      </x:c>
      <x:c r="D29" s="4" t="inlineStr">
        <x:is>
          <x:t xml:space="preserve">MGR-03</x:t>
        </x:is>
      </x:c>
      <x:c r="E29" s="4" t="inlineStr">
        <x:is>
          <x:t xml:space="preserve">Mobile Growth</x:t>
        </x:is>
      </x:c>
      <x:c r="F29" s="4" t="inlineStr">
        <x:is>
          <x:t xml:space="preserve">mobile</x:t>
        </x:is>
      </x:c>
      <x:c r="G29" s="4" t="inlineStr">
        <x:is>
          <x:t xml:space="preserve">Task</x:t>
        </x:is>
      </x:c>
      <x:c r="H29" s="4" t="n">
        <x:v>3</x:v>
      </x:c>
      <x:c r="I29" s="18" t="n">
        <x:v>46129</x:v>
      </x:c>
      <x:c r="J29" s="18" t="n">
        <x:v>46130</x:v>
      </x:c>
      <x:c r="K29" s="18" t="n">
        <x:v>46136.2</x:v>
      </x:c>
      <x:c r="L29" s="18" t="n">
        <x:v>46137.2</x:v>
      </x:c>
      <x:c r="M29" s="4" t="inlineStr">
        <x:is>
          <x:t xml:space="preserve">Done</x:t>
        </x:is>
      </x:c>
      <x:c r="N29" s="4" t="inlineStr">
        <x:is>
          <x:t xml:space="preserve">2026-04</x:t>
        </x:is>
      </x:c>
      <x:c r="O29" s="19" t="n">
        <x:v>7.2</x:v>
      </x:c>
    </x:row>
    <x:row r="30" ht="22" customHeight="1">
      <x:c r="A30" s="4" t="inlineStr">
        <x:is>
          <x:t xml:space="preserve">JIRA-029</x:t>
        </x:is>
      </x:c>
      <x:c r="B30" s="4" t="inlineStr">
        <x:is>
          <x:t xml:space="preserve">DEV-007</x:t>
        </x:is>
      </x:c>
      <x:c r="C30" s="4" t="inlineStr">
        <x:is>
          <x:t xml:space="preserve">Owen Brooks</x:t>
        </x:is>
      </x:c>
      <x:c r="D30" s="4" t="inlineStr">
        <x:is>
          <x:t xml:space="preserve">MGR-03</x:t>
        </x:is>
      </x:c>
      <x:c r="E30" s="4" t="inlineStr">
        <x:is>
          <x:t xml:space="preserve">Mobile Growth</x:t>
        </x:is>
      </x:c>
      <x:c r="F30" s="4" t="inlineStr">
        <x:is>
          <x:t xml:space="preserve">mobile</x:t>
        </x:is>
      </x:c>
      <x:c r="G30" s="4" t="inlineStr">
        <x:is>
          <x:t xml:space="preserve">Story</x:t>
        </x:is>
      </x:c>
      <x:c r="H30" s="4" t="n">
        <x:v>8</x:v>
      </x:c>
      <x:c r="I30" s="18" t="n">
        <x:v>46082</x:v>
      </x:c>
      <x:c r="J30" s="18" t="n">
        <x:v>46083</x:v>
      </x:c>
      <x:c r="K30" s="18" t="n">
        <x:v>46086.7</x:v>
      </x:c>
      <x:c r="L30" s="18" t="n">
        <x:v>46087.7</x:v>
      </x:c>
      <x:c r="M30" s="4" t="inlineStr">
        <x:is>
          <x:t xml:space="preserve">Done</x:t>
        </x:is>
      </x:c>
      <x:c r="N30" s="4" t="inlineStr">
        <x:is>
          <x:t xml:space="preserve">2026-03</x:t>
        </x:is>
      </x:c>
      <x:c r="O30" s="19" t="n">
        <x:v>4.7</x:v>
      </x:c>
    </x:row>
    <x:row r="31" ht="22" customHeight="1">
      <x:c r="A31" s="4" t="inlineStr">
        <x:is>
          <x:t xml:space="preserve">JIRA-030</x:t>
        </x:is>
      </x:c>
      <x:c r="B31" s="4" t="inlineStr">
        <x:is>
          <x:t xml:space="preserve">DEV-007</x:t>
        </x:is>
      </x:c>
      <x:c r="C31" s="4" t="inlineStr">
        <x:is>
          <x:t xml:space="preserve">Owen Brooks</x:t>
        </x:is>
      </x:c>
      <x:c r="D31" s="4" t="inlineStr">
        <x:is>
          <x:t xml:space="preserve">MGR-03</x:t>
        </x:is>
      </x:c>
      <x:c r="E31" s="4" t="inlineStr">
        <x:is>
          <x:t xml:space="preserve">Mobile Growth</x:t>
        </x:is>
      </x:c>
      <x:c r="F31" s="4" t="inlineStr">
        <x:is>
          <x:t xml:space="preserve">mobile</x:t>
        </x:is>
      </x:c>
      <x:c r="G31" s="4" t="inlineStr">
        <x:is>
          <x:t xml:space="preserve">Story</x:t>
        </x:is>
      </x:c>
      <x:c r="H31" s="4" t="n">
        <x:v>3</x:v>
      </x:c>
      <x:c r="I31" s="18" t="n">
        <x:v>46087</x:v>
      </x:c>
      <x:c r="J31" s="18" t="n">
        <x:v>46087</x:v>
      </x:c>
      <x:c r="K31" s="18" t="n">
        <x:v>46090.4</x:v>
      </x:c>
      <x:c r="L31" s="18" t="n">
        <x:v>46091.4</x:v>
      </x:c>
      <x:c r="M31" s="4" t="inlineStr">
        <x:is>
          <x:t xml:space="preserve">Done</x:t>
        </x:is>
      </x:c>
      <x:c r="N31" s="4" t="inlineStr">
        <x:is>
          <x:t xml:space="preserve">2026-03</x:t>
        </x:is>
      </x:c>
      <x:c r="O31" s="19" t="n">
        <x:v>4.4</x:v>
      </x:c>
    </x:row>
    <x:row r="32" ht="22" customHeight="1">
      <x:c r="A32" s="4" t="inlineStr">
        <x:is>
          <x:t xml:space="preserve">JIRA-031</x:t>
        </x:is>
      </x:c>
      <x:c r="B32" s="4" t="inlineStr">
        <x:is>
          <x:t xml:space="preserve">DEV-007</x:t>
        </x:is>
      </x:c>
      <x:c r="C32" s="4" t="inlineStr">
        <x:is>
          <x:t xml:space="preserve">Owen Brooks</x:t>
        </x:is>
      </x:c>
      <x:c r="D32" s="4" t="inlineStr">
        <x:is>
          <x:t xml:space="preserve">MGR-03</x:t>
        </x:is>
      </x:c>
      <x:c r="E32" s="4" t="inlineStr">
        <x:is>
          <x:t xml:space="preserve">Mobile Growth</x:t>
        </x:is>
      </x:c>
      <x:c r="F32" s="4" t="inlineStr">
        <x:is>
          <x:t xml:space="preserve">mobile</x:t>
        </x:is>
      </x:c>
      <x:c r="G32" s="4" t="inlineStr">
        <x:is>
          <x:t xml:space="preserve">Improvement</x:t>
        </x:is>
      </x:c>
      <x:c r="H32" s="4" t="n">
        <x:v>2</x:v>
      </x:c>
      <x:c r="I32" s="18" t="n">
        <x:v>46125</x:v>
      </x:c>
      <x:c r="J32" s="18" t="n">
        <x:v>46126</x:v>
      </x:c>
      <x:c r="K32" s="18" t="n">
        <x:v>46130.5</x:v>
      </x:c>
      <x:c r="L32" s="18" t="n">
        <x:v>46130.5</x:v>
      </x:c>
      <x:c r="M32" s="4" t="inlineStr">
        <x:is>
          <x:t xml:space="preserve">Done</x:t>
        </x:is>
      </x:c>
      <x:c r="N32" s="4" t="inlineStr">
        <x:is>
          <x:t xml:space="preserve">2026-04</x:t>
        </x:is>
      </x:c>
      <x:c r="O32" s="19" t="n">
        <x:v>4.5</x:v>
      </x:c>
    </x:row>
    <x:row r="33" ht="22" customHeight="1">
      <x:c r="A33" s="4" t="inlineStr">
        <x:is>
          <x:t xml:space="preserve">JIRA-032</x:t>
        </x:is>
      </x:c>
      <x:c r="B33" s="4" t="inlineStr">
        <x:is>
          <x:t xml:space="preserve">DEV-007</x:t>
        </x:is>
      </x:c>
      <x:c r="C33" s="4" t="inlineStr">
        <x:is>
          <x:t xml:space="preserve">Owen Brooks</x:t>
        </x:is>
      </x:c>
      <x:c r="D33" s="4" t="inlineStr">
        <x:is>
          <x:t xml:space="preserve">MGR-03</x:t>
        </x:is>
      </x:c>
      <x:c r="E33" s="4" t="inlineStr">
        <x:is>
          <x:t xml:space="preserve">Mobile Growth</x:t>
        </x:is>
      </x:c>
      <x:c r="F33" s="4" t="inlineStr">
        <x:is>
          <x:t xml:space="preserve">mobile</x:t>
        </x:is>
      </x:c>
      <x:c r="G33" s="4" t="inlineStr">
        <x:is>
          <x:t xml:space="preserve">Task</x:t>
        </x:is>
      </x:c>
      <x:c r="H33" s="4" t="n">
        <x:v>8</x:v>
      </x:c>
      <x:c r="I33" s="18" t="n">
        <x:v>46130</x:v>
      </x:c>
      <x:c r="J33" s="18" t="n">
        <x:v>46131</x:v>
      </x:c>
      <x:c r="K33" s="18" t="n">
        <x:v>46135.1</x:v>
      </x:c>
      <x:c r="L33" s="18" t="n">
        <x:v>46136.1</x:v>
      </x:c>
      <x:c r="M33" s="4" t="inlineStr">
        <x:is>
          <x:t xml:space="preserve">Done</x:t>
        </x:is>
      </x:c>
      <x:c r="N33" s="4" t="inlineStr">
        <x:is>
          <x:t xml:space="preserve">2026-04</x:t>
        </x:is>
      </x:c>
      <x:c r="O33" s="19" t="n">
        <x:v>5.1</x:v>
      </x:c>
    </x:row>
  </x:sheetData>
  <x:pageMargins left="0.7" right="0.7" top="0.75" bottom="0.75" header="0.3" footer="0.3"/>
  <x:tableParts count="1">
    <x:tablePart xmlns:r="http://schemas.openxmlformats.org/officeDocument/2006/relationships" r:id="Rb484fa7c28734b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12" customWidth="1"/>
    <x:col min="4" max="4" width="16" customWidth="1"/>
    <x:col min="5" max="5" width="10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0" customWidth="1"/>
    <x:col min="12" max="12" width="12" customWidth="1"/>
    <x:col min="13" max="13" width="16" customWidth="1"/>
    <x:col min="14" max="14" width="16" customWidth="1"/>
    <x:col min="15" max="15" width="14" customWidth="1"/>
    <x:col min="16" max="16" width="14" customWidth="1"/>
  </x:cols>
  <x:sheetData>
    <x:row r="1" ht="28" customHeight="1">
      <x:c r="A1" s="3" t="inlineStr">
        <x:is>
          <x:t xml:space="preserve">pr_id</x:t>
        </x:is>
      </x:c>
      <x:c r="B1" s="3" t="inlineStr">
        <x:is>
          <x:t xml:space="preserve">issue_id</x:t>
        </x:is>
      </x:c>
      <x:c r="C1" s="3" t="inlineStr">
        <x:is>
          <x:t xml:space="preserve">developer_id</x:t>
        </x:is>
      </x:c>
      <x:c r="D1" s="3" t="inlineStr">
        <x:is>
          <x:t xml:space="preserve">developer_name</x:t>
        </x:is>
      </x:c>
      <x:c r="E1" s="3" t="inlineStr">
        <x:is>
          <x:t xml:space="preserve">manager_id</x:t>
        </x:is>
      </x:c>
      <x:c r="F1" s="3" t="inlineStr">
        <x:is>
          <x:t xml:space="preserve">team_name</x:t>
        </x:is>
      </x:c>
      <x:c r="G1" s="3" t="inlineStr">
        <x:is>
          <x:t xml:space="preserve">opened_at</x:t>
        </x:is>
      </x:c>
      <x:c r="H1" s="3" t="inlineStr">
        <x:is>
          <x:t xml:space="preserve">first_review_at</x:t>
        </x:is>
      </x:c>
      <x:c r="I1" s="3" t="inlineStr">
        <x:is>
          <x:t xml:space="preserve">approved_at</x:t>
        </x:is>
      </x:c>
      <x:c r="J1" s="3" t="inlineStr">
        <x:is>
          <x:t xml:space="preserve">merged_at</x:t>
        </x:is>
      </x:c>
      <x:c r="K1" s="3" t="inlineStr">
        <x:is>
          <x:t xml:space="preserve">status</x:t>
        </x:is>
      </x:c>
      <x:c r="L1" s="3" t="inlineStr">
        <x:is>
          <x:t xml:space="preserve">month_merged</x:t>
        </x:is>
      </x:c>
      <x:c r="M1" s="3" t="inlineStr">
        <x:is>
          <x:t xml:space="preserve">review_wait_hours</x:t>
        </x:is>
      </x:c>
      <x:c r="N1" s="3" t="inlineStr">
        <x:is>
          <x:t xml:space="preserve">merge_time_hours</x:t>
        </x:is>
      </x:c>
      <x:c r="O1" s="3" t="inlineStr">
        <x:is>
          <x:t xml:space="preserve">lines_changed</x:t>
        </x:is>
      </x:c>
      <x:c r="P1" s="3" t="inlineStr">
        <x:is>
          <x:t xml:space="preserve">review_rounds</x:t>
        </x:is>
      </x:c>
    </x:row>
    <x:row r="2" ht="22" customHeight="1">
      <x:c r="A2" s="4" t="inlineStr">
        <x:is>
          <x:t xml:space="preserve">PR-001</x:t>
        </x:is>
      </x:c>
      <x:c r="B2" s="4" t="inlineStr">
        <x:is>
          <x:t xml:space="preserve">JIRA-001</x:t>
        </x:is>
      </x:c>
      <x:c r="C2" s="4" t="inlineStr">
        <x:is>
          <x:t xml:space="preserve">DEV-001</x:t>
        </x:is>
      </x:c>
      <x:c r="D2" s="4" t="inlineStr">
        <x:is>
          <x:t xml:space="preserve">Ava Chen</x:t>
        </x:is>
      </x:c>
      <x:c r="E2" s="4" t="inlineStr">
        <x:is>
          <x:t xml:space="preserve">MGR-01</x:t>
        </x:is>
      </x:c>
      <x:c r="F2" s="4" t="inlineStr">
        <x:is>
          <x:t xml:space="preserve">Payments API</x:t>
        </x:is>
      </x:c>
      <x:c r="G2" s="18" t="n">
        <x:v>46105.90833333333</x:v>
      </x:c>
      <x:c r="H2" s="18" t="n">
        <x:v>46106.34583333333</x:v>
      </x:c>
      <x:c r="I2" s="18" t="n">
        <x:v>46106.92916666667</x:v>
      </x:c>
      <x:c r="J2" s="18" t="n">
        <x:v>46107.34583333333</x:v>
      </x:c>
      <x:c r="K2" s="4" t="inlineStr">
        <x:is>
          <x:t xml:space="preserve">merged</x:t>
        </x:is>
      </x:c>
      <x:c r="L2" s="4" t="inlineStr">
        <x:is>
          <x:t xml:space="preserve">2026-03</x:t>
        </x:is>
      </x:c>
      <x:c r="M2" s="19" t="n">
        <x:v>10.5</x:v>
      </x:c>
      <x:c r="N2" s="19" t="n">
        <x:v>34.5</x:v>
      </x:c>
      <x:c r="O2" s="4" t="n">
        <x:v>209</x:v>
      </x:c>
      <x:c r="P2" s="4" t="n">
        <x:v>3</x:v>
      </x:c>
    </x:row>
    <x:row r="3" ht="22" customHeight="1">
      <x:c r="A3" s="4" t="inlineStr">
        <x:is>
          <x:t xml:space="preserve">PR-002</x:t>
        </x:is>
      </x:c>
      <x:c r="B3" s="4" t="inlineStr">
        <x:is>
          <x:t xml:space="preserve">JIRA-002</x:t>
        </x:is>
      </x:c>
      <x:c r="C3" s="4" t="inlineStr">
        <x:is>
          <x:t xml:space="preserve">DEV-001</x:t>
        </x:is>
      </x:c>
      <x:c r="D3" s="4" t="inlineStr">
        <x:is>
          <x:t xml:space="preserve">Ava Chen</x:t>
        </x:is>
      </x:c>
      <x:c r="E3" s="4" t="inlineStr">
        <x:is>
          <x:t xml:space="preserve">MGR-01</x:t>
        </x:is>
      </x:c>
      <x:c r="F3" s="4" t="inlineStr">
        <x:is>
          <x:t xml:space="preserve">Payments API</x:t>
        </x:is>
      </x:c>
      <x:c r="G3" s="18" t="n">
        <x:v>46087.36666666667</x:v>
      </x:c>
      <x:c r="H3" s="18" t="n">
        <x:v>46087.975</x:v>
      </x:c>
      <x:c r="I3" s="18" t="n">
        <x:v>46088.18333333333</x:v>
      </x:c>
      <x:c r="J3" s="18" t="n">
        <x:v>46088.51666666667</x:v>
      </x:c>
      <x:c r="K3" s="4" t="inlineStr">
        <x:is>
          <x:t xml:space="preserve">merged</x:t>
        </x:is>
      </x:c>
      <x:c r="L3" s="4" t="inlineStr">
        <x:is>
          <x:t xml:space="preserve">2026-03</x:t>
        </x:is>
      </x:c>
      <x:c r="M3" s="19" t="n">
        <x:v>14.6</x:v>
      </x:c>
      <x:c r="N3" s="19" t="n">
        <x:v>27.6</x:v>
      </x:c>
      <x:c r="O3" s="4" t="n">
        <x:v>468</x:v>
      </x:c>
      <x:c r="P3" s="4" t="n">
        <x:v>2</x:v>
      </x:c>
    </x:row>
    <x:row r="4" ht="22" customHeight="1">
      <x:c r="A4" s="4" t="inlineStr">
        <x:is>
          <x:t xml:space="preserve">PR-003</x:t>
        </x:is>
      </x:c>
      <x:c r="B4" s="4" t="inlineStr">
        <x:is>
          <x:t xml:space="preserve">JIRA-003</x:t>
        </x:is>
      </x:c>
      <x:c r="C4" s="4" t="inlineStr">
        <x:is>
          <x:t xml:space="preserve">DEV-001</x:t>
        </x:is>
      </x:c>
      <x:c r="D4" s="4" t="inlineStr">
        <x:is>
          <x:t xml:space="preserve">Ava Chen</x:t>
        </x:is>
      </x:c>
      <x:c r="E4" s="4" t="inlineStr">
        <x:is>
          <x:t xml:space="preserve">MGR-01</x:t>
        </x:is>
      </x:c>
      <x:c r="F4" s="4" t="inlineStr">
        <x:is>
          <x:t xml:space="preserve">Payments API</x:t>
        </x:is>
      </x:c>
      <x:c r="G4" s="18" t="n">
        <x:v>46125.60833333333</x:v>
      </x:c>
      <x:c r="H4" s="18" t="n">
        <x:v>46126.06666666667</x:v>
      </x:c>
      <x:c r="I4" s="18" t="n">
        <x:v>46126.48333333333</x:v>
      </x:c>
      <x:c r="J4" s="18" t="n">
        <x:v>46126.9</x:v>
      </x:c>
      <x:c r="K4" s="4" t="inlineStr">
        <x:is>
          <x:t xml:space="preserve">merged</x:t>
        </x:is>
      </x:c>
      <x:c r="L4" s="4" t="inlineStr">
        <x:is>
          <x:t xml:space="preserve">2026-04</x:t>
        </x:is>
      </x:c>
      <x:c r="M4" s="19" t="n">
        <x:v>11</x:v>
      </x:c>
      <x:c r="N4" s="19" t="n">
        <x:v>31</x:v>
      </x:c>
      <x:c r="O4" s="4" t="n">
        <x:v>247</x:v>
      </x:c>
      <x:c r="P4" s="4" t="n">
        <x:v>2</x:v>
      </x:c>
    </x:row>
    <x:row r="5" ht="22" customHeight="1">
      <x:c r="A5" s="4" t="inlineStr">
        <x:is>
          <x:t xml:space="preserve">PR-004</x:t>
        </x:is>
      </x:c>
      <x:c r="B5" s="4" t="inlineStr">
        <x:is>
          <x:t xml:space="preserve">JIRA-004</x:t>
        </x:is>
      </x:c>
      <x:c r="C5" s="4" t="inlineStr">
        <x:is>
          <x:t xml:space="preserve">DEV-001</x:t>
        </x:is>
      </x:c>
      <x:c r="D5" s="4" t="inlineStr">
        <x:is>
          <x:t xml:space="preserve">Ava Chen</x:t>
        </x:is>
      </x:c>
      <x:c r="E5" s="4" t="inlineStr">
        <x:is>
          <x:t xml:space="preserve">MGR-01</x:t>
        </x:is>
      </x:c>
      <x:c r="F5" s="4" t="inlineStr">
        <x:is>
          <x:t xml:space="preserve">Payments API</x:t>
        </x:is>
      </x:c>
      <x:c r="G5" s="18" t="n">
        <x:v>46130.56666666667</x:v>
      </x:c>
      <x:c r="H5" s="18" t="n">
        <x:v>46130.96666666667</x:v>
      </x:c>
      <x:c r="I5" s="18" t="n">
        <x:v>46131.21666666667</x:v>
      </x:c>
      <x:c r="J5" s="18" t="n">
        <x:v>46131.34166666667</x:v>
      </x:c>
      <x:c r="K5" s="4" t="inlineStr">
        <x:is>
          <x:t xml:space="preserve">merged</x:t>
        </x:is>
      </x:c>
      <x:c r="L5" s="4" t="inlineStr">
        <x:is>
          <x:t xml:space="preserve">2026-04</x:t>
        </x:is>
      </x:c>
      <x:c r="M5" s="19" t="n">
        <x:v>9.6</x:v>
      </x:c>
      <x:c r="N5" s="19" t="n">
        <x:v>18.6</x:v>
      </x:c>
      <x:c r="O5" s="4" t="n">
        <x:v>509</x:v>
      </x:c>
      <x:c r="P5" s="4" t="n">
        <x:v>2</x:v>
      </x:c>
    </x:row>
    <x:row r="6" ht="22" customHeight="1">
      <x:c r="A6" s="4" t="inlineStr">
        <x:is>
          <x:t xml:space="preserve">PR-005</x:t>
        </x:is>
      </x:c>
      <x:c r="B6" s="4" t="inlineStr">
        <x:is>
          <x:t xml:space="preserve">JIRA-005</x:t>
        </x:is>
      </x:c>
      <x:c r="C6" s="4" t="inlineStr">
        <x:is>
          <x:t xml:space="preserve">DEV-002</x:t>
        </x:is>
      </x:c>
      <x:c r="D6" s="4" t="inlineStr">
        <x:is>
          <x:t xml:space="preserve">Noah Patel</x:t>
        </x:is>
      </x:c>
      <x:c r="E6" s="4" t="inlineStr">
        <x:is>
          <x:t xml:space="preserve">MGR-01</x:t>
        </x:is>
      </x:c>
      <x:c r="F6" s="4" t="inlineStr">
        <x:is>
          <x:t xml:space="preserve">Payments API</x:t>
        </x:is>
      </x:c>
      <x:c r="G6" s="18" t="n">
        <x:v>46092.45</x:v>
      </x:c>
      <x:c r="H6" s="18" t="n">
        <x:v>46093.5625</x:v>
      </x:c>
      <x:c r="I6" s="18" t="n">
        <x:v>46094.14583333334</x:v>
      </x:c>
      <x:c r="J6" s="18" t="n">
        <x:v>46094.35416666666</x:v>
      </x:c>
      <x:c r="K6" s="4" t="inlineStr">
        <x:is>
          <x:t xml:space="preserve">merged</x:t>
        </x:is>
      </x:c>
      <x:c r="L6" s="4" t="inlineStr">
        <x:is>
          <x:t xml:space="preserve">2026-03</x:t>
        </x:is>
      </x:c>
      <x:c r="M6" s="19" t="n">
        <x:v>26.7</x:v>
      </x:c>
      <x:c r="N6" s="19" t="n">
        <x:v>45.7</x:v>
      </x:c>
      <x:c r="O6" s="4" t="n">
        <x:v>287</x:v>
      </x:c>
      <x:c r="P6" s="4" t="n">
        <x:v>2</x:v>
      </x:c>
    </x:row>
    <x:row r="7" ht="22" customHeight="1">
      <x:c r="A7" s="4" t="inlineStr">
        <x:is>
          <x:t xml:space="preserve">PR-006</x:t>
        </x:is>
      </x:c>
      <x:c r="B7" s="4" t="inlineStr">
        <x:is>
          <x:t xml:space="preserve">JIRA-006</x:t>
        </x:is>
      </x:c>
      <x:c r="C7" s="4" t="inlineStr">
        <x:is>
          <x:t xml:space="preserve">DEV-002</x:t>
        </x:is>
      </x:c>
      <x:c r="D7" s="4" t="inlineStr">
        <x:is>
          <x:t xml:space="preserve">Noah Patel</x:t>
        </x:is>
      </x:c>
      <x:c r="E7" s="4" t="inlineStr">
        <x:is>
          <x:t xml:space="preserve">MGR-01</x:t>
        </x:is>
      </x:c>
      <x:c r="F7" s="4" t="inlineStr">
        <x:is>
          <x:t xml:space="preserve">Payments API</x:t>
        </x:is>
      </x:c>
      <x:c r="G7" s="18" t="n">
        <x:v>46101.89166666667</x:v>
      </x:c>
      <x:c r="H7" s="18" t="n">
        <x:v>46102.79583333333</x:v>
      </x:c>
      <x:c r="I7" s="18" t="n">
        <x:v>46103.29583333333</x:v>
      </x:c>
      <x:c r="J7" s="18" t="n">
        <x:v>46103.5875</x:v>
      </x:c>
      <x:c r="K7" s="4" t="inlineStr">
        <x:is>
          <x:t xml:space="preserve">merged</x:t>
        </x:is>
      </x:c>
      <x:c r="L7" s="4" t="inlineStr">
        <x:is>
          <x:t xml:space="preserve">2026-03</x:t>
        </x:is>
      </x:c>
      <x:c r="M7" s="19" t="n">
        <x:v>21.7</x:v>
      </x:c>
      <x:c r="N7" s="19" t="n">
        <x:v>40.7</x:v>
      </x:c>
      <x:c r="O7" s="4" t="n">
        <x:v>337</x:v>
      </x:c>
      <x:c r="P7" s="4" t="n">
        <x:v>2</x:v>
      </x:c>
    </x:row>
    <x:row r="8" ht="22" customHeight="1">
      <x:c r="A8" s="4" t="inlineStr">
        <x:is>
          <x:t xml:space="preserve">PR-007</x:t>
        </x:is>
      </x:c>
      <x:c r="B8" s="4" t="inlineStr">
        <x:is>
          <x:t xml:space="preserve">JIRA-007</x:t>
        </x:is>
      </x:c>
      <x:c r="C8" s="4" t="inlineStr">
        <x:is>
          <x:t xml:space="preserve">DEV-002</x:t>
        </x:is>
      </x:c>
      <x:c r="D8" s="4" t="inlineStr">
        <x:is>
          <x:t xml:space="preserve">Noah Patel</x:t>
        </x:is>
      </x:c>
      <x:c r="E8" s="4" t="inlineStr">
        <x:is>
          <x:t xml:space="preserve">MGR-01</x:t>
        </x:is>
      </x:c>
      <x:c r="F8" s="4" t="inlineStr">
        <x:is>
          <x:t xml:space="preserve">Payments API</x:t>
        </x:is>
      </x:c>
      <x:c r="G8" s="18" t="n">
        <x:v>46125.15</x:v>
      </x:c>
      <x:c r="H8" s="18" t="n">
        <x:v>46126.27916666667</x:v>
      </x:c>
      <x:c r="I8" s="18" t="n">
        <x:v>46126.65416666667</x:v>
      </x:c>
      <x:c r="J8" s="18" t="n">
        <x:v>46126.94583333333</x:v>
      </x:c>
      <x:c r="K8" s="4" t="inlineStr">
        <x:is>
          <x:t xml:space="preserve">merged</x:t>
        </x:is>
      </x:c>
      <x:c r="L8" s="4" t="inlineStr">
        <x:is>
          <x:t xml:space="preserve">2026-04</x:t>
        </x:is>
      </x:c>
      <x:c r="M8" s="19" t="n">
        <x:v>27.1</x:v>
      </x:c>
      <x:c r="N8" s="19" t="n">
        <x:v>43.1</x:v>
      </x:c>
      <x:c r="O8" s="4" t="n">
        <x:v>344</x:v>
      </x:c>
      <x:c r="P8" s="4" t="n">
        <x:v>1</x:v>
      </x:c>
    </x:row>
    <x:row r="9" ht="22" customHeight="1">
      <x:c r="A9" s="4" t="inlineStr">
        <x:is>
          <x:t xml:space="preserve">PR-008</x:t>
        </x:is>
      </x:c>
      <x:c r="B9" s="4" t="inlineStr">
        <x:is>
          <x:t xml:space="preserve">JIRA-008</x:t>
        </x:is>
      </x:c>
      <x:c r="C9" s="4" t="inlineStr">
        <x:is>
          <x:t xml:space="preserve">DEV-002</x:t>
        </x:is>
      </x:c>
      <x:c r="D9" s="4" t="inlineStr">
        <x:is>
          <x:t xml:space="preserve">Noah Patel</x:t>
        </x:is>
      </x:c>
      <x:c r="E9" s="4" t="inlineStr">
        <x:is>
          <x:t xml:space="preserve">MGR-01</x:t>
        </x:is>
      </x:c>
      <x:c r="F9" s="4" t="inlineStr">
        <x:is>
          <x:t xml:space="preserve">Payments API</x:t>
        </x:is>
      </x:c>
      <x:c r="G9" s="18" t="n">
        <x:v>46133.10833333333</x:v>
      </x:c>
      <x:c r="H9" s="18" t="n">
        <x:v>46133.97916666666</x:v>
      </x:c>
      <x:c r="I9" s="18" t="n">
        <x:v>46134.4375</x:v>
      </x:c>
      <x:c r="J9" s="18" t="n">
        <x:v>46134.6875</x:v>
      </x:c>
      <x:c r="K9" s="4" t="inlineStr">
        <x:is>
          <x:t xml:space="preserve">merged</x:t>
        </x:is>
      </x:c>
      <x:c r="L9" s="4" t="inlineStr">
        <x:is>
          <x:t xml:space="preserve">2026-04</x:t>
        </x:is>
      </x:c>
      <x:c r="M9" s="19" t="n">
        <x:v>20.9</x:v>
      </x:c>
      <x:c r="N9" s="19" t="n">
        <x:v>37.9</x:v>
      </x:c>
      <x:c r="O9" s="4" t="n">
        <x:v>776</x:v>
      </x:c>
      <x:c r="P9" s="4" t="n">
        <x:v>2</x:v>
      </x:c>
    </x:row>
    <x:row r="10" ht="22" customHeight="1">
      <x:c r="A10" s="4" t="inlineStr">
        <x:is>
          <x:t xml:space="preserve">PR-009</x:t>
        </x:is>
      </x:c>
      <x:c r="B10" s="4" t="inlineStr">
        <x:is>
          <x:t xml:space="preserve">JIRA-009</x:t>
        </x:is>
      </x:c>
      <x:c r="C10" s="4" t="inlineStr">
        <x:is>
          <x:t xml:space="preserve">DEV-006</x:t>
        </x:is>
      </x:c>
      <x:c r="D10" s="4" t="inlineStr">
        <x:is>
          <x:t xml:space="preserve">Ishan Mehta</x:t>
        </x:is>
      </x:c>
      <x:c r="E10" s="4" t="inlineStr">
        <x:is>
          <x:t xml:space="preserve">MGR-01</x:t>
        </x:is>
      </x:c>
      <x:c r="F10" s="4" t="inlineStr">
        <x:is>
          <x:t xml:space="preserve">Payments API</x:t>
        </x:is>
      </x:c>
      <x:c r="G10" s="18" t="n">
        <x:v>46099.45</x:v>
      </x:c>
      <x:c r="H10" s="18" t="n">
        <x:v>46099.6875</x:v>
      </x:c>
      <x:c r="I10" s="18" t="n">
        <x:v>46099.85416666666</x:v>
      </x:c>
      <x:c r="J10" s="18" t="n">
        <x:v>46100.35416666666</x:v>
      </x:c>
      <x:c r="K10" s="4" t="inlineStr">
        <x:is>
          <x:t xml:space="preserve">merged</x:t>
        </x:is>
      </x:c>
      <x:c r="L10" s="4" t="inlineStr">
        <x:is>
          <x:t xml:space="preserve">2026-03</x:t>
        </x:is>
      </x:c>
      <x:c r="M10" s="19" t="n">
        <x:v>5.7</x:v>
      </x:c>
      <x:c r="N10" s="19" t="n">
        <x:v>21.7</x:v>
      </x:c>
      <x:c r="O10" s="4" t="n">
        <x:v>425</x:v>
      </x:c>
      <x:c r="P10" s="4" t="n">
        <x:v>3</x:v>
      </x:c>
    </x:row>
    <x:row r="11" ht="22" customHeight="1">
      <x:c r="A11" s="4" t="inlineStr">
        <x:is>
          <x:t xml:space="preserve">PR-010</x:t>
        </x:is>
      </x:c>
      <x:c r="B11" s="4" t="inlineStr">
        <x:is>
          <x:t xml:space="preserve">JIRA-010</x:t>
        </x:is>
      </x:c>
      <x:c r="C11" s="4" t="inlineStr">
        <x:is>
          <x:t xml:space="preserve">DEV-006</x:t>
        </x:is>
      </x:c>
      <x:c r="D11" s="4" t="inlineStr">
        <x:is>
          <x:t xml:space="preserve">Ishan Mehta</x:t>
        </x:is>
      </x:c>
      <x:c r="E11" s="4" t="inlineStr">
        <x:is>
          <x:t xml:space="preserve">MGR-01</x:t>
        </x:is>
      </x:c>
      <x:c r="F11" s="4" t="inlineStr">
        <x:is>
          <x:t xml:space="preserve">Payments API</x:t>
        </x:is>
      </x:c>
      <x:c r="G11" s="18" t="n">
        <x:v>46102.63333333333</x:v>
      </x:c>
      <x:c r="H11" s="18" t="n">
        <x:v>46103.19583333333</x:v>
      </x:c>
      <x:c r="I11" s="18" t="n">
        <x:v>46103.4875</x:v>
      </x:c>
      <x:c r="J11" s="18" t="n">
        <x:v>46103.69583333333</x:v>
      </x:c>
      <x:c r="K11" s="4" t="inlineStr">
        <x:is>
          <x:t xml:space="preserve">merged</x:t>
        </x:is>
      </x:c>
      <x:c r="L11" s="4" t="inlineStr">
        <x:is>
          <x:t xml:space="preserve">2026-03</x:t>
        </x:is>
      </x:c>
      <x:c r="M11" s="19" t="n">
        <x:v>13.5</x:v>
      </x:c>
      <x:c r="N11" s="19" t="n">
        <x:v>25.5</x:v>
      </x:c>
      <x:c r="O11" s="4" t="n">
        <x:v>179</x:v>
      </x:c>
      <x:c r="P11" s="4" t="n">
        <x:v>1</x:v>
      </x:c>
    </x:row>
    <x:row r="12" ht="22" customHeight="1">
      <x:c r="A12" s="4" t="inlineStr">
        <x:is>
          <x:t xml:space="preserve">PR-011</x:t>
        </x:is>
      </x:c>
      <x:c r="B12" s="4" t="inlineStr">
        <x:is>
          <x:t xml:space="preserve">JIRA-011</x:t>
        </x:is>
      </x:c>
      <x:c r="C12" s="4" t="inlineStr">
        <x:is>
          <x:t xml:space="preserve">DEV-006</x:t>
        </x:is>
      </x:c>
      <x:c r="D12" s="4" t="inlineStr">
        <x:is>
          <x:t xml:space="preserve">Ishan Mehta</x:t>
        </x:is>
      </x:c>
      <x:c r="E12" s="4" t="inlineStr">
        <x:is>
          <x:t xml:space="preserve">MGR-01</x:t>
        </x:is>
      </x:c>
      <x:c r="F12" s="4" t="inlineStr">
        <x:is>
          <x:t xml:space="preserve">Payments API</x:t>
        </x:is>
      </x:c>
      <x:c r="G12" s="18" t="n">
        <x:v>46119.75</x:v>
      </x:c>
      <x:c r="H12" s="18" t="n">
        <x:v>46119.91666666666</x:v>
      </x:c>
      <x:c r="I12" s="18" t="n">
        <x:v>46120.125</x:v>
      </x:c>
      <x:c r="J12" s="18" t="n">
        <x:v>46120.375</x:v>
      </x:c>
      <x:c r="K12" s="4" t="inlineStr">
        <x:is>
          <x:t xml:space="preserve">merged</x:t>
        </x:is>
      </x:c>
      <x:c r="L12" s="4" t="inlineStr">
        <x:is>
          <x:t xml:space="preserve">2026-04</x:t>
        </x:is>
      </x:c>
      <x:c r="M12" s="19" t="n">
        <x:v>4</x:v>
      </x:c>
      <x:c r="N12" s="19" t="n">
        <x:v>15</x:v>
      </x:c>
      <x:c r="O12" s="4" t="n">
        <x:v>660</x:v>
      </x:c>
      <x:c r="P12" s="4" t="n">
        <x:v>3</x:v>
      </x:c>
    </x:row>
    <x:row r="13" ht="22" customHeight="1">
      <x:c r="A13" s="4" t="inlineStr">
        <x:is>
          <x:t xml:space="preserve">PR-012</x:t>
        </x:is>
      </x:c>
      <x:c r="B13" s="4" t="inlineStr">
        <x:is>
          <x:t xml:space="preserve">JIRA-012</x:t>
        </x:is>
      </x:c>
      <x:c r="C13" s="4" t="inlineStr">
        <x:is>
          <x:t xml:space="preserve">DEV-006</x:t>
        </x:is>
      </x:c>
      <x:c r="D13" s="4" t="inlineStr">
        <x:is>
          <x:t xml:space="preserve">Ishan Mehta</x:t>
        </x:is>
      </x:c>
      <x:c r="E13" s="4" t="inlineStr">
        <x:is>
          <x:t xml:space="preserve">MGR-01</x:t>
        </x:is>
      </x:c>
      <x:c r="F13" s="4" t="inlineStr">
        <x:is>
          <x:t xml:space="preserve">Payments API</x:t>
        </x:is>
      </x:c>
      <x:c r="G13" s="18" t="n">
        <x:v>46128.31666666667</x:v>
      </x:c>
      <x:c r="H13" s="18" t="n">
        <x:v>46128.65</x:v>
      </x:c>
      <x:c r="I13" s="18" t="n">
        <x:v>46128.775</x:v>
      </x:c>
      <x:c r="J13" s="18" t="n">
        <x:v>46129.23333333333</x:v>
      </x:c>
      <x:c r="K13" s="4" t="inlineStr">
        <x:is>
          <x:t xml:space="preserve">merged</x:t>
        </x:is>
      </x:c>
      <x:c r="L13" s="4" t="inlineStr">
        <x:is>
          <x:t xml:space="preserve">2026-04</x:t>
        </x:is>
      </x:c>
      <x:c r="M13" s="19" t="n">
        <x:v>8</x:v>
      </x:c>
      <x:c r="N13" s="19" t="n">
        <x:v>22</x:v>
      </x:c>
      <x:c r="O13" s="4" t="n">
        <x:v>687</x:v>
      </x:c>
      <x:c r="P13" s="4" t="n">
        <x:v>1</x:v>
      </x:c>
    </x:row>
    <x:row r="14" ht="22" customHeight="1">
      <x:c r="A14" s="4" t="inlineStr">
        <x:is>
          <x:t xml:space="preserve">PR-013</x:t>
        </x:is>
      </x:c>
      <x:c r="B14" s="4" t="inlineStr">
        <x:is>
          <x:t xml:space="preserve">JIRA-013</x:t>
        </x:is>
      </x:c>
      <x:c r="C14" s="4" t="inlineStr">
        <x:is>
          <x:t xml:space="preserve">DEV-003</x:t>
        </x:is>
      </x:c>
      <x:c r="D14" s="4" t="inlineStr">
        <x:is>
          <x:t xml:space="preserve">Mia Lopez</x:t>
        </x:is>
      </x:c>
      <x:c r="E14" s="4" t="inlineStr">
        <x:is>
          <x:t xml:space="preserve">MGR-02</x:t>
        </x:is>
      </x:c>
      <x:c r="F14" s="4" t="inlineStr">
        <x:is>
          <x:t xml:space="preserve">Checkout Web</x:t>
        </x:is>
      </x:c>
      <x:c r="G14" s="18" t="n">
        <x:v>46087.475</x:v>
      </x:c>
      <x:c r="H14" s="18" t="n">
        <x:v>46088.24583333333</x:v>
      </x:c>
      <x:c r="I14" s="18" t="n">
        <x:v>46088.87083333333</x:v>
      </x:c>
      <x:c r="J14" s="18" t="n">
        <x:v>46089.24583333333</x:v>
      </x:c>
      <x:c r="K14" s="4" t="inlineStr">
        <x:is>
          <x:t xml:space="preserve">merged</x:t>
        </x:is>
      </x:c>
      <x:c r="L14" s="4" t="inlineStr">
        <x:is>
          <x:t xml:space="preserve">2026-03</x:t>
        </x:is>
      </x:c>
      <x:c r="M14" s="19" t="n">
        <x:v>18.5</x:v>
      </x:c>
      <x:c r="N14" s="19" t="n">
        <x:v>42.5</x:v>
      </x:c>
      <x:c r="O14" s="4" t="n">
        <x:v>536</x:v>
      </x:c>
      <x:c r="P14" s="4" t="n">
        <x:v>1</x:v>
      </x:c>
    </x:row>
    <x:row r="15" ht="22" customHeight="1">
      <x:c r="A15" s="4" t="inlineStr">
        <x:is>
          <x:t xml:space="preserve">PR-014</x:t>
        </x:is>
      </x:c>
      <x:c r="B15" s="4" t="inlineStr">
        <x:is>
          <x:t xml:space="preserve">JIRA-014</x:t>
        </x:is>
      </x:c>
      <x:c r="C15" s="4" t="inlineStr">
        <x:is>
          <x:t xml:space="preserve">DEV-003</x:t>
        </x:is>
      </x:c>
      <x:c r="D15" s="4" t="inlineStr">
        <x:is>
          <x:t xml:space="preserve">Mia Lopez</x:t>
        </x:is>
      </x:c>
      <x:c r="E15" s="4" t="inlineStr">
        <x:is>
          <x:t xml:space="preserve">MGR-02</x:t>
        </x:is>
      </x:c>
      <x:c r="F15" s="4" t="inlineStr">
        <x:is>
          <x:t xml:space="preserve">Checkout Web</x:t>
        </x:is>
      </x:c>
      <x:c r="G15" s="18" t="n">
        <x:v>46090.16666666666</x:v>
      </x:c>
      <x:c r="H15" s="18" t="n">
        <x:v>46090.83333333334</x:v>
      </x:c>
      <x:c r="I15" s="18" t="n">
        <x:v>46091.08333333334</x:v>
      </x:c>
      <x:c r="J15" s="18" t="n">
        <x:v>46091.5</x:v>
      </x:c>
      <x:c r="K15" s="4" t="inlineStr">
        <x:is>
          <x:t xml:space="preserve">merged</x:t>
        </x:is>
      </x:c>
      <x:c r="L15" s="4" t="inlineStr">
        <x:is>
          <x:t xml:space="preserve">2026-03</x:t>
        </x:is>
      </x:c>
      <x:c r="M15" s="19" t="n">
        <x:v>16</x:v>
      </x:c>
      <x:c r="N15" s="19" t="n">
        <x:v>32</x:v>
      </x:c>
      <x:c r="O15" s="4" t="n">
        <x:v>579</x:v>
      </x:c>
      <x:c r="P15" s="4" t="n">
        <x:v>1</x:v>
      </x:c>
    </x:row>
    <x:row r="16" ht="22" customHeight="1">
      <x:c r="A16" s="4" t="inlineStr">
        <x:is>
          <x:t xml:space="preserve">PR-015</x:t>
        </x:is>
      </x:c>
      <x:c r="B16" s="4" t="inlineStr">
        <x:is>
          <x:t xml:space="preserve">JIRA-015</x:t>
        </x:is>
      </x:c>
      <x:c r="C16" s="4" t="inlineStr">
        <x:is>
          <x:t xml:space="preserve">DEV-003</x:t>
        </x:is>
      </x:c>
      <x:c r="D16" s="4" t="inlineStr">
        <x:is>
          <x:t xml:space="preserve">Mia Lopez</x:t>
        </x:is>
      </x:c>
      <x:c r="E16" s="4" t="inlineStr">
        <x:is>
          <x:t xml:space="preserve">MGR-02</x:t>
        </x:is>
      </x:c>
      <x:c r="F16" s="4" t="inlineStr">
        <x:is>
          <x:t xml:space="preserve">Checkout Web</x:t>
        </x:is>
      </x:c>
      <x:c r="G16" s="18" t="n">
        <x:v>46122.21666666667</x:v>
      </x:c>
      <x:c r="H16" s="18" t="n">
        <x:v>46122.91666666666</x:v>
      </x:c>
      <x:c r="I16" s="18" t="n">
        <x:v>46123.54166666666</x:v>
      </x:c>
      <x:c r="J16" s="18" t="n">
        <x:v>46123.75</x:v>
      </x:c>
      <x:c r="K16" s="4" t="inlineStr">
        <x:is>
          <x:t xml:space="preserve">merged</x:t>
        </x:is>
      </x:c>
      <x:c r="L16" s="4" t="inlineStr">
        <x:is>
          <x:t xml:space="preserve">2026-04</x:t>
        </x:is>
      </x:c>
      <x:c r="M16" s="19" t="n">
        <x:v>16.8</x:v>
      </x:c>
      <x:c r="N16" s="19" t="n">
        <x:v>36.8</x:v>
      </x:c>
      <x:c r="O16" s="4" t="n">
        <x:v>290</x:v>
      </x:c>
      <x:c r="P16" s="4" t="n">
        <x:v>2</x:v>
      </x:c>
    </x:row>
    <x:row r="17" ht="22" customHeight="1">
      <x:c r="A17" s="4" t="inlineStr">
        <x:is>
          <x:t xml:space="preserve">PR-016</x:t>
        </x:is>
      </x:c>
      <x:c r="B17" s="4" t="inlineStr">
        <x:is>
          <x:t xml:space="preserve">JIRA-016</x:t>
        </x:is>
      </x:c>
      <x:c r="C17" s="4" t="inlineStr">
        <x:is>
          <x:t xml:space="preserve">DEV-003</x:t>
        </x:is>
      </x:c>
      <x:c r="D17" s="4" t="inlineStr">
        <x:is>
          <x:t xml:space="preserve">Mia Lopez</x:t>
        </x:is>
      </x:c>
      <x:c r="E17" s="4" t="inlineStr">
        <x:is>
          <x:t xml:space="preserve">MGR-02</x:t>
        </x:is>
      </x:c>
      <x:c r="F17" s="4" t="inlineStr">
        <x:is>
          <x:t xml:space="preserve">Checkout Web</x:t>
        </x:is>
      </x:c>
      <x:c r="G17" s="18" t="n">
        <x:v>46119.63333333333</x:v>
      </x:c>
      <x:c r="H17" s="18" t="n">
        <x:v>46119.84583333333</x:v>
      </x:c>
      <x:c r="I17" s="18" t="n">
        <x:v>46120.47083333333</x:v>
      </x:c>
      <x:c r="J17" s="18" t="n">
        <x:v>46120.8875</x:v>
      </x:c>
      <x:c r="K17" s="4" t="inlineStr">
        <x:is>
          <x:t xml:space="preserve">merged</x:t>
        </x:is>
      </x:c>
      <x:c r="L17" s="4" t="inlineStr">
        <x:is>
          <x:t xml:space="preserve">2026-04</x:t>
        </x:is>
      </x:c>
      <x:c r="M17" s="19" t="n">
        <x:v>5.1</x:v>
      </x:c>
      <x:c r="N17" s="19" t="n">
        <x:v>30.1</x:v>
      </x:c>
      <x:c r="O17" s="4" t="n">
        <x:v>618</x:v>
      </x:c>
      <x:c r="P17" s="4" t="n">
        <x:v>1</x:v>
      </x:c>
    </x:row>
    <x:row r="18" ht="22" customHeight="1">
      <x:c r="A18" s="4" t="inlineStr">
        <x:is>
          <x:t xml:space="preserve">PR-017</x:t>
        </x:is>
      </x:c>
      <x:c r="B18" s="4" t="inlineStr">
        <x:is>
          <x:t xml:space="preserve">JIRA-017</x:t>
        </x:is>
      </x:c>
      <x:c r="C18" s="4" t="inlineStr">
        <x:is>
          <x:t xml:space="preserve">DEV-004</x:t>
        </x:is>
      </x:c>
      <x:c r="D18" s="4" t="inlineStr">
        <x:is>
          <x:t xml:space="preserve">Lucas Reed</x:t>
        </x:is>
      </x:c>
      <x:c r="E18" s="4" t="inlineStr">
        <x:is>
          <x:t xml:space="preserve">MGR-02</x:t>
        </x:is>
      </x:c>
      <x:c r="F18" s="4" t="inlineStr">
        <x:is>
          <x:t xml:space="preserve">Checkout Web</x:t>
        </x:is>
      </x:c>
      <x:c r="G18" s="18" t="n">
        <x:v>46086.11666666667</x:v>
      </x:c>
      <x:c r="H18" s="18" t="n">
        <x:v>46086.55833333333</x:v>
      </x:c>
      <x:c r="I18" s="18" t="n">
        <x:v>46087.01666666667</x:v>
      </x:c>
      <x:c r="J18" s="18" t="n">
        <x:v>46087.14166666667</x:v>
      </x:c>
      <x:c r="K18" s="4" t="inlineStr">
        <x:is>
          <x:t xml:space="preserve">merged</x:t>
        </x:is>
      </x:c>
      <x:c r="L18" s="4" t="inlineStr">
        <x:is>
          <x:t xml:space="preserve">2026-03</x:t>
        </x:is>
      </x:c>
      <x:c r="M18" s="19" t="n">
        <x:v>10.6</x:v>
      </x:c>
      <x:c r="N18" s="19" t="n">
        <x:v>24.6</x:v>
      </x:c>
      <x:c r="O18" s="4" t="n">
        <x:v>310</x:v>
      </x:c>
      <x:c r="P18" s="4" t="n">
        <x:v>1</x:v>
      </x:c>
    </x:row>
    <x:row r="19" ht="22" customHeight="1">
      <x:c r="A19" s="4" t="inlineStr">
        <x:is>
          <x:t xml:space="preserve">PR-018</x:t>
        </x:is>
      </x:c>
      <x:c r="B19" s="4" t="inlineStr">
        <x:is>
          <x:t xml:space="preserve">JIRA-018</x:t>
        </x:is>
      </x:c>
      <x:c r="C19" s="4" t="inlineStr">
        <x:is>
          <x:t xml:space="preserve">DEV-004</x:t>
        </x:is>
      </x:c>
      <x:c r="D19" s="4" t="inlineStr">
        <x:is>
          <x:t xml:space="preserve">Lucas Reed</x:t>
        </x:is>
      </x:c>
      <x:c r="E19" s="4" t="inlineStr">
        <x:is>
          <x:t xml:space="preserve">MGR-02</x:t>
        </x:is>
      </x:c>
      <x:c r="F19" s="4" t="inlineStr">
        <x:is>
          <x:t xml:space="preserve">Checkout Web</x:t>
        </x:is>
      </x:c>
      <x:c r="G19" s="18" t="n">
        <x:v>46106.20833333334</x:v>
      </x:c>
      <x:c r="H19" s="18" t="n">
        <x:v>46106.53333333333</x:v>
      </x:c>
      <x:c r="I19" s="18" t="n">
        <x:v>46106.825</x:v>
      </x:c>
      <x:c r="J19" s="18" t="n">
        <x:v>46107.03333333333</x:v>
      </x:c>
      <x:c r="K19" s="4" t="inlineStr">
        <x:is>
          <x:t xml:space="preserve">merged</x:t>
        </x:is>
      </x:c>
      <x:c r="L19" s="4" t="inlineStr">
        <x:is>
          <x:t xml:space="preserve">2026-03</x:t>
        </x:is>
      </x:c>
      <x:c r="M19" s="19" t="n">
        <x:v>7.8</x:v>
      </x:c>
      <x:c r="N19" s="19" t="n">
        <x:v>19.8</x:v>
      </x:c>
      <x:c r="O19" s="4" t="n">
        <x:v>441</x:v>
      </x:c>
      <x:c r="P19" s="4" t="n">
        <x:v>1</x:v>
      </x:c>
    </x:row>
    <x:row r="20" ht="22" customHeight="1">
      <x:c r="A20" s="4" t="inlineStr">
        <x:is>
          <x:t xml:space="preserve">PR-019</x:t>
        </x:is>
      </x:c>
      <x:c r="B20" s="4" t="inlineStr">
        <x:is>
          <x:t xml:space="preserve">JIRA-019</x:t>
        </x:is>
      </x:c>
      <x:c r="C20" s="4" t="inlineStr">
        <x:is>
          <x:t xml:space="preserve">DEV-004</x:t>
        </x:is>
      </x:c>
      <x:c r="D20" s="4" t="inlineStr">
        <x:is>
          <x:t xml:space="preserve">Lucas Reed</x:t>
        </x:is>
      </x:c>
      <x:c r="E20" s="4" t="inlineStr">
        <x:is>
          <x:t xml:space="preserve">MGR-02</x:t>
        </x:is>
      </x:c>
      <x:c r="F20" s="4" t="inlineStr">
        <x:is>
          <x:t xml:space="preserve">Checkout Web</x:t>
        </x:is>
      </x:c>
      <x:c r="G20" s="18" t="n">
        <x:v>46136.31666666667</x:v>
      </x:c>
      <x:c r="H20" s="18" t="n">
        <x:v>46136.91666666666</x:v>
      </x:c>
      <x:c r="I20" s="18" t="n">
        <x:v>46137.375</x:v>
      </x:c>
      <x:c r="J20" s="18" t="n">
        <x:v>46137.58333333334</x:v>
      </x:c>
      <x:c r="K20" s="4" t="inlineStr">
        <x:is>
          <x:t xml:space="preserve">merged</x:t>
        </x:is>
      </x:c>
      <x:c r="L20" s="4" t="inlineStr">
        <x:is>
          <x:t xml:space="preserve">2026-04</x:t>
        </x:is>
      </x:c>
      <x:c r="M20" s="19" t="n">
        <x:v>14.4</x:v>
      </x:c>
      <x:c r="N20" s="19" t="n">
        <x:v>30.4</x:v>
      </x:c>
      <x:c r="O20" s="4" t="n">
        <x:v>638</x:v>
      </x:c>
      <x:c r="P20" s="4" t="n">
        <x:v>2</x:v>
      </x:c>
    </x:row>
    <x:row r="21" ht="22" customHeight="1">
      <x:c r="A21" s="4" t="inlineStr">
        <x:is>
          <x:t xml:space="preserve">PR-020</x:t>
        </x:is>
      </x:c>
      <x:c r="B21" s="4" t="inlineStr">
        <x:is>
          <x:t xml:space="preserve">JIRA-020</x:t>
        </x:is>
      </x:c>
      <x:c r="C21" s="4" t="inlineStr">
        <x:is>
          <x:t xml:space="preserve">DEV-004</x:t>
        </x:is>
      </x:c>
      <x:c r="D21" s="4" t="inlineStr">
        <x:is>
          <x:t xml:space="preserve">Lucas Reed</x:t>
        </x:is>
      </x:c>
      <x:c r="E21" s="4" t="inlineStr">
        <x:is>
          <x:t xml:space="preserve">MGR-02</x:t>
        </x:is>
      </x:c>
      <x:c r="F21" s="4" t="inlineStr">
        <x:is>
          <x:t xml:space="preserve">Checkout Web</x:t>
        </x:is>
      </x:c>
      <x:c r="G21" s="18" t="n">
        <x:v>46125.40833333333</x:v>
      </x:c>
      <x:c r="H21" s="18" t="n">
        <x:v>46125.96666666667</x:v>
      </x:c>
      <x:c r="I21" s="18" t="n">
        <x:v>46126.50833333333</x:v>
      </x:c>
      <x:c r="J21" s="18" t="n">
        <x:v>46126.63333333333</x:v>
      </x:c>
      <x:c r="K21" s="4" t="inlineStr">
        <x:is>
          <x:t xml:space="preserve">merged</x:t>
        </x:is>
      </x:c>
      <x:c r="L21" s="4" t="inlineStr">
        <x:is>
          <x:t xml:space="preserve">2026-04</x:t>
        </x:is>
      </x:c>
      <x:c r="M21" s="19" t="n">
        <x:v>13.4</x:v>
      </x:c>
      <x:c r="N21" s="19" t="n">
        <x:v>29.4</x:v>
      </x:c>
      <x:c r="O21" s="4" t="n">
        <x:v>257</x:v>
      </x:c>
      <x:c r="P21" s="4" t="n">
        <x:v>2</x:v>
      </x:c>
    </x:row>
    <x:row r="22" ht="22" customHeight="1">
      <x:c r="A22" s="4" t="inlineStr">
        <x:is>
          <x:t xml:space="preserve">PR-021</x:t>
        </x:is>
      </x:c>
      <x:c r="B22" s="4" t="inlineStr">
        <x:is>
          <x:t xml:space="preserve">JIRA-021</x:t>
        </x:is>
      </x:c>
      <x:c r="C22" s="4" t="inlineStr">
        <x:is>
          <x:t xml:space="preserve">DEV-008</x:t>
        </x:is>
      </x:c>
      <x:c r="D22" s="4" t="inlineStr">
        <x:is>
          <x:t xml:space="preserve">Zara Khan</x:t>
        </x:is>
      </x:c>
      <x:c r="E22" s="4" t="inlineStr">
        <x:is>
          <x:t xml:space="preserve">MGR-02</x:t>
        </x:is>
      </x:c>
      <x:c r="F22" s="4" t="inlineStr">
        <x:is>
          <x:t xml:space="preserve">Checkout Web</x:t>
        </x:is>
      </x:c>
      <x:c r="G22" s="18" t="n">
        <x:v>46090.05</x:v>
      </x:c>
      <x:c r="H22" s="18" t="n">
        <x:v>46090.9125</x:v>
      </x:c>
      <x:c r="I22" s="18" t="n">
        <x:v>46091.32916666667</x:v>
      </x:c>
      <x:c r="J22" s="18" t="n">
        <x:v>46091.57916666667</x:v>
      </x:c>
      <x:c r="K22" s="4" t="inlineStr">
        <x:is>
          <x:t xml:space="preserve">merged</x:t>
        </x:is>
      </x:c>
      <x:c r="L22" s="4" t="inlineStr">
        <x:is>
          <x:t xml:space="preserve">2026-03</x:t>
        </x:is>
      </x:c>
      <x:c r="M22" s="19" t="n">
        <x:v>20.7</x:v>
      </x:c>
      <x:c r="N22" s="19" t="n">
        <x:v>36.7</x:v>
      </x:c>
      <x:c r="O22" s="4" t="n">
        <x:v>172</x:v>
      </x:c>
      <x:c r="P22" s="4" t="n">
        <x:v>1</x:v>
      </x:c>
    </x:row>
    <x:row r="23" ht="22" customHeight="1">
      <x:c r="A23" s="4" t="inlineStr">
        <x:is>
          <x:t xml:space="preserve">PR-022</x:t>
        </x:is>
      </x:c>
      <x:c r="B23" s="4" t="inlineStr">
        <x:is>
          <x:t xml:space="preserve">JIRA-022</x:t>
        </x:is>
      </x:c>
      <x:c r="C23" s="4" t="inlineStr">
        <x:is>
          <x:t xml:space="preserve">DEV-008</x:t>
        </x:is>
      </x:c>
      <x:c r="D23" s="4" t="inlineStr">
        <x:is>
          <x:t xml:space="preserve">Zara Khan</x:t>
        </x:is>
      </x:c>
      <x:c r="E23" s="4" t="inlineStr">
        <x:is>
          <x:t xml:space="preserve">MGR-02</x:t>
        </x:is>
      </x:c>
      <x:c r="F23" s="4" t="inlineStr">
        <x:is>
          <x:t xml:space="preserve">Checkout Web</x:t>
        </x:is>
      </x:c>
      <x:c r="G23" s="18" t="n">
        <x:v>46093.05</x:v>
      </x:c>
      <x:c r="H23" s="18" t="n">
        <x:v>46093.86666666667</x:v>
      </x:c>
      <x:c r="I23" s="18" t="n">
        <x:v>46094.45</x:v>
      </x:c>
      <x:c r="J23" s="18" t="n">
        <x:v>46094.61666666667</x:v>
      </x:c>
      <x:c r="K23" s="4" t="inlineStr">
        <x:is>
          <x:t xml:space="preserve">merged</x:t>
        </x:is>
      </x:c>
      <x:c r="L23" s="4" t="inlineStr">
        <x:is>
          <x:t xml:space="preserve">2026-03</x:t>
        </x:is>
      </x:c>
      <x:c r="M23" s="19" t="n">
        <x:v>19.6</x:v>
      </x:c>
      <x:c r="N23" s="19" t="n">
        <x:v>37.6</x:v>
      </x:c>
      <x:c r="O23" s="4" t="n">
        <x:v>678</x:v>
      </x:c>
      <x:c r="P23" s="4" t="n">
        <x:v>1</x:v>
      </x:c>
    </x:row>
    <x:row r="24" ht="22" customHeight="1">
      <x:c r="A24" s="4" t="inlineStr">
        <x:is>
          <x:t xml:space="preserve">PR-023</x:t>
        </x:is>
      </x:c>
      <x:c r="B24" s="4" t="inlineStr">
        <x:is>
          <x:t xml:space="preserve">JIRA-023</x:t>
        </x:is>
      </x:c>
      <x:c r="C24" s="4" t="inlineStr">
        <x:is>
          <x:t xml:space="preserve">DEV-008</x:t>
        </x:is>
      </x:c>
      <x:c r="D24" s="4" t="inlineStr">
        <x:is>
          <x:t xml:space="preserve">Zara Khan</x:t>
        </x:is>
      </x:c>
      <x:c r="E24" s="4" t="inlineStr">
        <x:is>
          <x:t xml:space="preserve">MGR-02</x:t>
        </x:is>
      </x:c>
      <x:c r="F24" s="4" t="inlineStr">
        <x:is>
          <x:t xml:space="preserve">Checkout Web</x:t>
        </x:is>
      </x:c>
      <x:c r="G24" s="18" t="n">
        <x:v>46122.60833333333</x:v>
      </x:c>
      <x:c r="H24" s="18" t="n">
        <x:v>46123.4625</x:v>
      </x:c>
      <x:c r="I24" s="18" t="n">
        <x:v>46123.7125</x:v>
      </x:c>
      <x:c r="J24" s="18" t="n">
        <x:v>46124.2125</x:v>
      </x:c>
      <x:c r="K24" s="4" t="inlineStr">
        <x:is>
          <x:t xml:space="preserve">merged</x:t>
        </x:is>
      </x:c>
      <x:c r="L24" s="4" t="inlineStr">
        <x:is>
          <x:t xml:space="preserve">2026-04</x:t>
        </x:is>
      </x:c>
      <x:c r="M24" s="19" t="n">
        <x:v>20.5</x:v>
      </x:c>
      <x:c r="N24" s="19" t="n">
        <x:v>38.5</x:v>
      </x:c>
      <x:c r="O24" s="4" t="n">
        <x:v>225</x:v>
      </x:c>
      <x:c r="P24" s="4" t="n">
        <x:v>2</x:v>
      </x:c>
    </x:row>
    <x:row r="25" ht="22" customHeight="1">
      <x:c r="A25" s="4" t="inlineStr">
        <x:is>
          <x:t xml:space="preserve">PR-024</x:t>
        </x:is>
      </x:c>
      <x:c r="B25" s="4" t="inlineStr">
        <x:is>
          <x:t xml:space="preserve">JIRA-024</x:t>
        </x:is>
      </x:c>
      <x:c r="C25" s="4" t="inlineStr">
        <x:is>
          <x:t xml:space="preserve">DEV-008</x:t>
        </x:is>
      </x:c>
      <x:c r="D25" s="4" t="inlineStr">
        <x:is>
          <x:t xml:space="preserve">Zara Khan</x:t>
        </x:is>
      </x:c>
      <x:c r="E25" s="4" t="inlineStr">
        <x:is>
          <x:t xml:space="preserve">MGR-02</x:t>
        </x:is>
      </x:c>
      <x:c r="F25" s="4" t="inlineStr">
        <x:is>
          <x:t xml:space="preserve">Checkout Web</x:t>
        </x:is>
      </x:c>
      <x:c r="G25" s="18" t="n">
        <x:v>46125.675</x:v>
      </x:c>
      <x:c r="H25" s="18" t="n">
        <x:v>46126.4125</x:v>
      </x:c>
      <x:c r="I25" s="18" t="n">
        <x:v>46126.7875</x:v>
      </x:c>
      <x:c r="J25" s="18" t="n">
        <x:v>46127.2875</x:v>
      </x:c>
      <x:c r="K25" s="4" t="inlineStr">
        <x:is>
          <x:t xml:space="preserve">merged</x:t>
        </x:is>
      </x:c>
      <x:c r="L25" s="4" t="inlineStr">
        <x:is>
          <x:t xml:space="preserve">2026-04</x:t>
        </x:is>
      </x:c>
      <x:c r="M25" s="19" t="n">
        <x:v>17.7</x:v>
      </x:c>
      <x:c r="N25" s="19" t="n">
        <x:v>38.7</x:v>
      </x:c>
      <x:c r="O25" s="4" t="n">
        <x:v>374</x:v>
      </x:c>
      <x:c r="P25" s="4" t="n">
        <x:v>2</x:v>
      </x:c>
    </x:row>
    <x:row r="26" ht="22" customHeight="1">
      <x:c r="A26" s="4" t="inlineStr">
        <x:is>
          <x:t xml:space="preserve">PR-025</x:t>
        </x:is>
      </x:c>
      <x:c r="B26" s="4" t="inlineStr">
        <x:is>
          <x:t xml:space="preserve">JIRA-025</x:t>
        </x:is>
      </x:c>
      <x:c r="C26" s="4" t="inlineStr">
        <x:is>
          <x:t xml:space="preserve">DEV-005</x:t>
        </x:is>
      </x:c>
      <x:c r="D26" s="4" t="inlineStr">
        <x:is>
          <x:t xml:space="preserve">Emma Roy</x:t>
        </x:is>
      </x:c>
      <x:c r="E26" s="4" t="inlineStr">
        <x:is>
          <x:t xml:space="preserve">MGR-03</x:t>
        </x:is>
      </x:c>
      <x:c r="F26" s="4" t="inlineStr">
        <x:is>
          <x:t xml:space="preserve">Mobile Growth</x:t>
        </x:is>
      </x:c>
      <x:c r="G26" s="18" t="n">
        <x:v>46102.09166666667</x:v>
      </x:c>
      <x:c r="H26" s="18" t="n">
        <x:v>46103.0375</x:v>
      </x:c>
      <x:c r="I26" s="18" t="n">
        <x:v>46103.37083333333</x:v>
      </x:c>
      <x:c r="J26" s="18" t="n">
        <x:v>46103.62083333333</x:v>
      </x:c>
      <x:c r="K26" s="4" t="inlineStr">
        <x:is>
          <x:t xml:space="preserve">merged</x:t>
        </x:is>
      </x:c>
      <x:c r="L26" s="4" t="inlineStr">
        <x:is>
          <x:t xml:space="preserve">2026-03</x:t>
        </x:is>
      </x:c>
      <x:c r="M26" s="19" t="n">
        <x:v>22.7</x:v>
      </x:c>
      <x:c r="N26" s="19" t="n">
        <x:v>36.7</x:v>
      </x:c>
      <x:c r="O26" s="4" t="n">
        <x:v>191</x:v>
      </x:c>
      <x:c r="P26" s="4" t="n">
        <x:v>2</x:v>
      </x:c>
    </x:row>
    <x:row r="27" ht="22" customHeight="1">
      <x:c r="A27" s="4" t="inlineStr">
        <x:is>
          <x:t xml:space="preserve">PR-026</x:t>
        </x:is>
      </x:c>
      <x:c r="B27" s="4" t="inlineStr">
        <x:is>
          <x:t xml:space="preserve">JIRA-026</x:t>
        </x:is>
      </x:c>
      <x:c r="C27" s="4" t="inlineStr">
        <x:is>
          <x:t xml:space="preserve">DEV-005</x:t>
        </x:is>
      </x:c>
      <x:c r="D27" s="4" t="inlineStr">
        <x:is>
          <x:t xml:space="preserve">Emma Roy</x:t>
        </x:is>
      </x:c>
      <x:c r="E27" s="4" t="inlineStr">
        <x:is>
          <x:t xml:space="preserve">MGR-03</x:t>
        </x:is>
      </x:c>
      <x:c r="F27" s="4" t="inlineStr">
        <x:is>
          <x:t xml:space="preserve">Mobile Growth</x:t>
        </x:is>
      </x:c>
      <x:c r="G27" s="18" t="n">
        <x:v>46090.51666666667</x:v>
      </x:c>
      <x:c r="H27" s="18" t="n">
        <x:v>46091.32083333333</x:v>
      </x:c>
      <x:c r="I27" s="18" t="n">
        <x:v>46091.90416666667</x:v>
      </x:c>
      <x:c r="J27" s="18" t="n">
        <x:v>46092.19583333333</x:v>
      </x:c>
      <x:c r="K27" s="4" t="inlineStr">
        <x:is>
          <x:t xml:space="preserve">merged</x:t>
        </x:is>
      </x:c>
      <x:c r="L27" s="4" t="inlineStr">
        <x:is>
          <x:t xml:space="preserve">2026-03</x:t>
        </x:is>
      </x:c>
      <x:c r="M27" s="19" t="n">
        <x:v>19.3</x:v>
      </x:c>
      <x:c r="N27" s="19" t="n">
        <x:v>40.3</x:v>
      </x:c>
      <x:c r="O27" s="4" t="n">
        <x:v>566</x:v>
      </x:c>
      <x:c r="P27" s="4" t="n">
        <x:v>3</x:v>
      </x:c>
    </x:row>
    <x:row r="28" ht="22" customHeight="1">
      <x:c r="A28" s="4" t="inlineStr">
        <x:is>
          <x:t xml:space="preserve">PR-027</x:t>
        </x:is>
      </x:c>
      <x:c r="B28" s="4" t="inlineStr">
        <x:is>
          <x:t xml:space="preserve">JIRA-027</x:t>
        </x:is>
      </x:c>
      <x:c r="C28" s="4" t="inlineStr">
        <x:is>
          <x:t xml:space="preserve">DEV-005</x:t>
        </x:is>
      </x:c>
      <x:c r="D28" s="4" t="inlineStr">
        <x:is>
          <x:t xml:space="preserve">Emma Roy</x:t>
        </x:is>
      </x:c>
      <x:c r="E28" s="4" t="inlineStr">
        <x:is>
          <x:t xml:space="preserve">MGR-03</x:t>
        </x:is>
      </x:c>
      <x:c r="F28" s="4" t="inlineStr">
        <x:is>
          <x:t xml:space="preserve">Mobile Growth</x:t>
        </x:is>
      </x:c>
      <x:c r="G28" s="18" t="n">
        <x:v>46136.63333333333</x:v>
      </x:c>
      <x:c r="H28" s="18" t="n">
        <x:v>46137.5625</x:v>
      </x:c>
      <x:c r="I28" s="18" t="n">
        <x:v>46137.9375</x:v>
      </x:c>
      <x:c r="J28" s="18" t="n">
        <x:v>46138.0625</x:v>
      </x:c>
      <x:c r="K28" s="4" t="inlineStr">
        <x:is>
          <x:t xml:space="preserve">merged</x:t>
        </x:is>
      </x:c>
      <x:c r="L28" s="4" t="inlineStr">
        <x:is>
          <x:t xml:space="preserve">2026-04</x:t>
        </x:is>
      </x:c>
      <x:c r="M28" s="19" t="n">
        <x:v>22.3</x:v>
      </x:c>
      <x:c r="N28" s="19" t="n">
        <x:v>34.3</x:v>
      </x:c>
      <x:c r="O28" s="4" t="n">
        <x:v>458</x:v>
      </x:c>
      <x:c r="P28" s="4" t="n">
        <x:v>3</x:v>
      </x:c>
    </x:row>
    <x:row r="29" ht="22" customHeight="1">
      <x:c r="A29" s="4" t="inlineStr">
        <x:is>
          <x:t xml:space="preserve">PR-028</x:t>
        </x:is>
      </x:c>
      <x:c r="B29" s="4" t="inlineStr">
        <x:is>
          <x:t xml:space="preserve">JIRA-028</x:t>
        </x:is>
      </x:c>
      <x:c r="C29" s="4" t="inlineStr">
        <x:is>
          <x:t xml:space="preserve">DEV-005</x:t>
        </x:is>
      </x:c>
      <x:c r="D29" s="4" t="inlineStr">
        <x:is>
          <x:t xml:space="preserve">Emma Roy</x:t>
        </x:is>
      </x:c>
      <x:c r="E29" s="4" t="inlineStr">
        <x:is>
          <x:t xml:space="preserve">MGR-03</x:t>
        </x:is>
      </x:c>
      <x:c r="F29" s="4" t="inlineStr">
        <x:is>
          <x:t xml:space="preserve">Mobile Growth</x:t>
        </x:is>
      </x:c>
      <x:c r="G29" s="18" t="n">
        <x:v>46136.075</x:v>
      </x:c>
      <x:c r="H29" s="18" t="n">
        <x:v>46136.39583333334</x:v>
      </x:c>
      <x:c r="I29" s="18" t="n">
        <x:v>46136.9375</x:v>
      </x:c>
      <x:c r="J29" s="18" t="n">
        <x:v>46137.10416666666</x:v>
      </x:c>
      <x:c r="K29" s="4" t="inlineStr">
        <x:is>
          <x:t xml:space="preserve">merged</x:t>
        </x:is>
      </x:c>
      <x:c r="L29" s="4" t="inlineStr">
        <x:is>
          <x:t xml:space="preserve">2026-04</x:t>
        </x:is>
      </x:c>
      <x:c r="M29" s="19" t="n">
        <x:v>7.7</x:v>
      </x:c>
      <x:c r="N29" s="19" t="n">
        <x:v>24.7</x:v>
      </x:c>
      <x:c r="O29" s="4" t="n">
        <x:v>750</x:v>
      </x:c>
      <x:c r="P29" s="4" t="n">
        <x:v>3</x:v>
      </x:c>
    </x:row>
    <x:row r="30" ht="22" customHeight="1">
      <x:c r="A30" s="4" t="inlineStr">
        <x:is>
          <x:t xml:space="preserve">PR-029</x:t>
        </x:is>
      </x:c>
      <x:c r="B30" s="4" t="inlineStr">
        <x:is>
          <x:t xml:space="preserve">JIRA-029</x:t>
        </x:is>
      </x:c>
      <x:c r="C30" s="4" t="inlineStr">
        <x:is>
          <x:t xml:space="preserve">DEV-007</x:t>
        </x:is>
      </x:c>
      <x:c r="D30" s="4" t="inlineStr">
        <x:is>
          <x:t xml:space="preserve">Owen Brooks</x:t>
        </x:is>
      </x:c>
      <x:c r="E30" s="4" t="inlineStr">
        <x:is>
          <x:t xml:space="preserve">MGR-03</x:t>
        </x:is>
      </x:c>
      <x:c r="F30" s="4" t="inlineStr">
        <x:is>
          <x:t xml:space="preserve">Mobile Growth</x:t>
        </x:is>
      </x:c>
      <x:c r="G30" s="18" t="n">
        <x:v>46086.40833333333</x:v>
      </x:c>
      <x:c r="H30" s="18" t="n">
        <x:v>46087.12083333333</x:v>
      </x:c>
      <x:c r="I30" s="18" t="n">
        <x:v>46087.37083333333</x:v>
      </x:c>
      <x:c r="J30" s="18" t="n">
        <x:v>46087.7875</x:v>
      </x:c>
      <x:c r="K30" s="4" t="inlineStr">
        <x:is>
          <x:t xml:space="preserve">merged</x:t>
        </x:is>
      </x:c>
      <x:c r="L30" s="4" t="inlineStr">
        <x:is>
          <x:t xml:space="preserve">2026-03</x:t>
        </x:is>
      </x:c>
      <x:c r="M30" s="19" t="n">
        <x:v>17.1</x:v>
      </x:c>
      <x:c r="N30" s="19" t="n">
        <x:v>33.1</x:v>
      </x:c>
      <x:c r="O30" s="4" t="n">
        <x:v>604</x:v>
      </x:c>
      <x:c r="P30" s="4" t="n">
        <x:v>1</x:v>
      </x:c>
    </x:row>
    <x:row r="31" ht="22" customHeight="1">
      <x:c r="A31" s="4" t="inlineStr">
        <x:is>
          <x:t xml:space="preserve">PR-030</x:t>
        </x:is>
      </x:c>
      <x:c r="B31" s="4" t="inlineStr">
        <x:is>
          <x:t xml:space="preserve">JIRA-030</x:t>
        </x:is>
      </x:c>
      <x:c r="C31" s="4" t="inlineStr">
        <x:is>
          <x:t xml:space="preserve">DEV-007</x:t>
        </x:is>
      </x:c>
      <x:c r="D31" s="4" t="inlineStr">
        <x:is>
          <x:t xml:space="preserve">Owen Brooks</x:t>
        </x:is>
      </x:c>
      <x:c r="E31" s="4" t="inlineStr">
        <x:is>
          <x:t xml:space="preserve">MGR-03</x:t>
        </x:is>
      </x:c>
      <x:c r="F31" s="4" t="inlineStr">
        <x:is>
          <x:t xml:space="preserve">Mobile Growth</x:t>
        </x:is>
      </x:c>
      <x:c r="G31" s="18" t="n">
        <x:v>46090.275</x:v>
      </x:c>
      <x:c r="H31" s="18" t="n">
        <x:v>46090.94166666667</x:v>
      </x:c>
      <x:c r="I31" s="18" t="n">
        <x:v>46091.35833333333</x:v>
      </x:c>
      <x:c r="J31" s="18" t="n">
        <x:v>46091.81666666667</x:v>
      </x:c>
      <x:c r="K31" s="4" t="inlineStr">
        <x:is>
          <x:t xml:space="preserve">merged</x:t>
        </x:is>
      </x:c>
      <x:c r="L31" s="4" t="inlineStr">
        <x:is>
          <x:t xml:space="preserve">2026-03</x:t>
        </x:is>
      </x:c>
      <x:c r="M31" s="19" t="n">
        <x:v>16</x:v>
      </x:c>
      <x:c r="N31" s="19" t="n">
        <x:v>37</x:v>
      </x:c>
      <x:c r="O31" s="4" t="n">
        <x:v>194</x:v>
      </x:c>
      <x:c r="P31" s="4" t="n">
        <x:v>2</x:v>
      </x:c>
    </x:row>
    <x:row r="32" ht="22" customHeight="1">
      <x:c r="A32" s="4" t="inlineStr">
        <x:is>
          <x:t xml:space="preserve">PR-031</x:t>
        </x:is>
      </x:c>
      <x:c r="B32" s="4" t="inlineStr">
        <x:is>
          <x:t xml:space="preserve">JIRA-031</x:t>
        </x:is>
      </x:c>
      <x:c r="C32" s="4" t="inlineStr">
        <x:is>
          <x:t xml:space="preserve">DEV-007</x:t>
        </x:is>
      </x:c>
      <x:c r="D32" s="4" t="inlineStr">
        <x:is>
          <x:t xml:space="preserve">Owen Brooks</x:t>
        </x:is>
      </x:c>
      <x:c r="E32" s="4" t="inlineStr">
        <x:is>
          <x:t xml:space="preserve">MGR-03</x:t>
        </x:is>
      </x:c>
      <x:c r="F32" s="4" t="inlineStr">
        <x:is>
          <x:t xml:space="preserve">Mobile Growth</x:t>
        </x:is>
      </x:c>
      <x:c r="G32" s="18" t="n">
        <x:v>46130.16666666666</x:v>
      </x:c>
      <x:c r="H32" s="18" t="n">
        <x:v>46130.7625</x:v>
      </x:c>
      <x:c r="I32" s="18" t="n">
        <x:v>46131.1375</x:v>
      </x:c>
      <x:c r="J32" s="18" t="n">
        <x:v>46131.34583333333</x:v>
      </x:c>
      <x:c r="K32" s="4" t="inlineStr">
        <x:is>
          <x:t xml:space="preserve">merged</x:t>
        </x:is>
      </x:c>
      <x:c r="L32" s="4" t="inlineStr">
        <x:is>
          <x:t xml:space="preserve">2026-04</x:t>
        </x:is>
      </x:c>
      <x:c r="M32" s="19" t="n">
        <x:v>14.3</x:v>
      </x:c>
      <x:c r="N32" s="19" t="n">
        <x:v>28.3</x:v>
      </x:c>
      <x:c r="O32" s="4" t="n">
        <x:v>300</x:v>
      </x:c>
      <x:c r="P32" s="4" t="n">
        <x:v>3</x:v>
      </x:c>
    </x:row>
    <x:row r="33" ht="22" customHeight="1">
      <x:c r="A33" s="4" t="inlineStr">
        <x:is>
          <x:t xml:space="preserve">PR-032</x:t>
        </x:is>
      </x:c>
      <x:c r="B33" s="4" t="inlineStr">
        <x:is>
          <x:t xml:space="preserve">JIRA-032</x:t>
        </x:is>
      </x:c>
      <x:c r="C33" s="4" t="inlineStr">
        <x:is>
          <x:t xml:space="preserve">DEV-007</x:t>
        </x:is>
      </x:c>
      <x:c r="D33" s="4" t="inlineStr">
        <x:is>
          <x:t xml:space="preserve">Owen Brooks</x:t>
        </x:is>
      </x:c>
      <x:c r="E33" s="4" t="inlineStr">
        <x:is>
          <x:t xml:space="preserve">MGR-03</x:t>
        </x:is>
      </x:c>
      <x:c r="F33" s="4" t="inlineStr">
        <x:is>
          <x:t xml:space="preserve">Mobile Growth</x:t>
        </x:is>
      </x:c>
      <x:c r="G33" s="18" t="n">
        <x:v>46134.76666666667</x:v>
      </x:c>
      <x:c r="H33" s="18" t="n">
        <x:v>46135.45833333334</x:v>
      </x:c>
      <x:c r="I33" s="18" t="n">
        <x:v>46135.66666666666</x:v>
      </x:c>
      <x:c r="J33" s="18" t="n">
        <x:v>46136.04166666666</x:v>
      </x:c>
      <x:c r="K33" s="4" t="inlineStr">
        <x:is>
          <x:t xml:space="preserve">merged</x:t>
        </x:is>
      </x:c>
      <x:c r="L33" s="4" t="inlineStr">
        <x:is>
          <x:t xml:space="preserve">2026-04</x:t>
        </x:is>
      </x:c>
      <x:c r="M33" s="19" t="n">
        <x:v>16.6</x:v>
      </x:c>
      <x:c r="N33" s="19" t="n">
        <x:v>30.6</x:v>
      </x:c>
      <x:c r="O33" s="4" t="n">
        <x:v>580</x:v>
      </x:c>
      <x:c r="P33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c92bb4dd39240e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0" customWidth="1"/>
    <x:col min="3" max="3" width="12" customWidth="1"/>
    <x:col min="4" max="4" width="12" customWidth="1"/>
    <x:col min="5" max="5" width="16" customWidth="1"/>
    <x:col min="6" max="6" width="10" customWidth="1"/>
    <x:col min="7" max="7" width="18" customWidth="1"/>
    <x:col min="8" max="8" width="12" customWidth="1"/>
    <x:col min="9" max="9" width="18" customWidth="1"/>
    <x:col min="10" max="10" width="18" customWidth="1"/>
    <x:col min="11" max="11" width="10" customWidth="1"/>
    <x:col min="12" max="12" width="12" customWidth="1"/>
    <x:col min="13" max="13" width="14" customWidth="1"/>
    <x:col min="14" max="14" width="14" customWidth="1"/>
  </x:cols>
  <x:sheetData>
    <x:row r="1" ht="28" customHeight="1">
      <x:c r="A1" s="3" t="inlineStr">
        <x:is>
          <x:t xml:space="preserve">deployment_id</x:t>
        </x:is>
      </x:c>
      <x:c r="B1" s="3" t="inlineStr">
        <x:is>
          <x:t xml:space="preserve">pr_id</x:t>
        </x:is>
      </x:c>
      <x:c r="C1" s="3" t="inlineStr">
        <x:is>
          <x:t xml:space="preserve">issue_id</x:t>
        </x:is>
      </x:c>
      <x:c r="D1" s="3" t="inlineStr">
        <x:is>
          <x:t xml:space="preserve">developer_id</x:t>
        </x:is>
      </x:c>
      <x:c r="E1" s="3" t="inlineStr">
        <x:is>
          <x:t xml:space="preserve">developer_name</x:t>
        </x:is>
      </x:c>
      <x:c r="F1" s="3" t="inlineStr">
        <x:is>
          <x:t xml:space="preserve">manager_id</x:t>
        </x:is>
      </x:c>
      <x:c r="G1" s="3" t="inlineStr">
        <x:is>
          <x:t xml:space="preserve">team_name</x:t>
        </x:is>
      </x:c>
      <x:c r="H1" s="3" t="inlineStr">
        <x:is>
          <x:t xml:space="preserve">environment</x:t>
        </x:is>
      </x:c>
      <x:c r="I1" s="3" t="inlineStr">
        <x:is>
          <x:t xml:space="preserve">started_at</x:t>
        </x:is>
      </x:c>
      <x:c r="J1" s="3" t="inlineStr">
        <x:is>
          <x:t xml:space="preserve">completed_at</x:t>
        </x:is>
      </x:c>
      <x:c r="K1" s="3" t="inlineStr">
        <x:is>
          <x:t xml:space="preserve">status</x:t>
        </x:is>
      </x:c>
      <x:c r="L1" s="3" t="inlineStr">
        <x:is>
          <x:t xml:space="preserve">month_deployed</x:t>
        </x:is>
      </x:c>
      <x:c r="M1" s="3" t="inlineStr">
        <x:is>
          <x:t xml:space="preserve">lead_time_days</x:t>
        </x:is>
      </x:c>
      <x:c r="N1" s="3" t="inlineStr">
        <x:is>
          <x:t xml:space="preserve">release_type</x:t>
        </x:is>
      </x:c>
    </x:row>
    <x:row r="2" ht="22" customHeight="1">
      <x:c r="A2" s="4" t="inlineStr">
        <x:is>
          <x:t xml:space="preserve">DEP-001</x:t>
        </x:is>
      </x:c>
      <x:c r="B2" s="4" t="inlineStr">
        <x:is>
          <x:t xml:space="preserve">PR-001</x:t>
        </x:is>
      </x:c>
      <x:c r="C2" s="4" t="inlineStr">
        <x:is>
          <x:t xml:space="preserve">JIRA-001</x:t>
        </x:is>
      </x:c>
      <x:c r="D2" s="4" t="inlineStr">
        <x:is>
          <x:t xml:space="preserve">DEV-001</x:t>
        </x:is>
      </x:c>
      <x:c r="E2" s="4" t="inlineStr">
        <x:is>
          <x:t xml:space="preserve">Ava Chen</x:t>
        </x:is>
      </x:c>
      <x:c r="F2" s="4" t="inlineStr">
        <x:is>
          <x:t xml:space="preserve">MGR-01</x:t>
        </x:is>
      </x:c>
      <x:c r="G2" s="4" t="inlineStr">
        <x:is>
          <x:t xml:space="preserve">Payments API</x:t>
        </x:is>
      </x:c>
      <x:c r="H2" s="4" t="inlineStr">
        <x:is>
          <x:t xml:space="preserve">prod</x:t>
        </x:is>
      </x:c>
      <x:c r="I2" s="18" t="n">
        <x:v>46107.6375</x:v>
      </x:c>
      <x:c r="J2" s="18" t="n">
        <x:v>46108.8375</x:v>
      </x:c>
      <x:c r="K2" s="4" t="inlineStr">
        <x:is>
          <x:t xml:space="preserve">success</x:t>
        </x:is>
      </x:c>
      <x:c r="L2" s="4" t="inlineStr">
        <x:is>
          <x:t xml:space="preserve">2026-03</x:t>
        </x:is>
      </x:c>
      <x:c r="M2" s="19" t="n">
        <x:v>2.9</x:v>
      </x:c>
      <x:c r="N2" s="4" t="inlineStr">
        <x:is>
          <x:t xml:space="preserve">standard</x:t>
        </x:is>
      </x:c>
    </x:row>
    <x:row r="3" ht="22" customHeight="1">
      <x:c r="A3" s="4" t="inlineStr">
        <x:is>
          <x:t xml:space="preserve">DEP-002</x:t>
        </x:is>
      </x:c>
      <x:c r="B3" s="4" t="inlineStr">
        <x:is>
          <x:t xml:space="preserve">PR-002</x:t>
        </x:is>
      </x:c>
      <x:c r="C3" s="4" t="inlineStr">
        <x:is>
          <x:t xml:space="preserve">JIRA-002</x:t>
        </x:is>
      </x:c>
      <x:c r="D3" s="4" t="inlineStr">
        <x:is>
          <x:t xml:space="preserve">DEV-001</x:t>
        </x:is>
      </x:c>
      <x:c r="E3" s="4" t="inlineStr">
        <x:is>
          <x:t xml:space="preserve">Ava Chen</x:t>
        </x:is>
      </x:c>
      <x:c r="F3" s="4" t="inlineStr">
        <x:is>
          <x:t xml:space="preserve">MGR-01</x:t>
        </x:is>
      </x:c>
      <x:c r="G3" s="4" t="inlineStr">
        <x:is>
          <x:t xml:space="preserve">Payments API</x:t>
        </x:is>
      </x:c>
      <x:c r="H3" s="4" t="inlineStr">
        <x:is>
          <x:t xml:space="preserve">prod</x:t>
        </x:is>
      </x:c>
      <x:c r="I3" s="18" t="n">
        <x:v>46088.76666666667</x:v>
      </x:c>
      <x:c r="J3" s="18" t="n">
        <x:v>46089.26666666667</x:v>
      </x:c>
      <x:c r="K3" s="4" t="inlineStr">
        <x:is>
          <x:t xml:space="preserve">success</x:t>
        </x:is>
      </x:c>
      <x:c r="L3" s="4" t="inlineStr">
        <x:is>
          <x:t xml:space="preserve">2026-03</x:t>
        </x:is>
      </x:c>
      <x:c r="M3" s="19" t="n">
        <x:v>1.9</x:v>
      </x:c>
      <x:c r="N3" s="4" t="inlineStr">
        <x:is>
          <x:t xml:space="preserve">standard</x:t>
        </x:is>
      </x:c>
    </x:row>
    <x:row r="4" ht="22" customHeight="1">
      <x:c r="A4" s="4" t="inlineStr">
        <x:is>
          <x:t xml:space="preserve">DEP-003</x:t>
        </x:is>
      </x:c>
      <x:c r="B4" s="4" t="inlineStr">
        <x:is>
          <x:t xml:space="preserve">PR-003</x:t>
        </x:is>
      </x:c>
      <x:c r="C4" s="4" t="inlineStr">
        <x:is>
          <x:t xml:space="preserve">JIRA-003</x:t>
        </x:is>
      </x:c>
      <x:c r="D4" s="4" t="inlineStr">
        <x:is>
          <x:t xml:space="preserve">DEV-001</x:t>
        </x:is>
      </x:c>
      <x:c r="E4" s="4" t="inlineStr">
        <x:is>
          <x:t xml:space="preserve">Ava Chen</x:t>
        </x:is>
      </x:c>
      <x:c r="F4" s="4" t="inlineStr">
        <x:is>
          <x:t xml:space="preserve">MGR-01</x:t>
        </x:is>
      </x:c>
      <x:c r="G4" s="4" t="inlineStr">
        <x:is>
          <x:t xml:space="preserve">Payments API</x:t>
        </x:is>
      </x:c>
      <x:c r="H4" s="4" t="inlineStr">
        <x:is>
          <x:t xml:space="preserve">prod</x:t>
        </x:is>
      </x:c>
      <x:c r="I4" s="18" t="n">
        <x:v>46127.48333333333</x:v>
      </x:c>
      <x:c r="J4" s="18" t="n">
        <x:v>46129.38333333333</x:v>
      </x:c>
      <x:c r="K4" s="4" t="inlineStr">
        <x:is>
          <x:t xml:space="preserve">success</x:t>
        </x:is>
      </x:c>
      <x:c r="L4" s="4" t="inlineStr">
        <x:is>
          <x:t xml:space="preserve">2026-04</x:t>
        </x:is>
      </x:c>
      <x:c r="M4" s="19" t="n">
        <x:v>3.8</x:v>
      </x:c>
      <x:c r="N4" s="4" t="inlineStr">
        <x:is>
          <x:t xml:space="preserve">hotfix</x:t>
        </x:is>
      </x:c>
    </x:row>
    <x:row r="5" ht="22" customHeight="1">
      <x:c r="A5" s="4" t="inlineStr">
        <x:is>
          <x:t xml:space="preserve">DEP-004</x:t>
        </x:is>
      </x:c>
      <x:c r="B5" s="4" t="inlineStr">
        <x:is>
          <x:t xml:space="preserve">PR-004</x:t>
        </x:is>
      </x:c>
      <x:c r="C5" s="4" t="inlineStr">
        <x:is>
          <x:t xml:space="preserve">JIRA-004</x:t>
        </x:is>
      </x:c>
      <x:c r="D5" s="4" t="inlineStr">
        <x:is>
          <x:t xml:space="preserve">DEV-001</x:t>
        </x:is>
      </x:c>
      <x:c r="E5" s="4" t="inlineStr">
        <x:is>
          <x:t xml:space="preserve">Ava Chen</x:t>
        </x:is>
      </x:c>
      <x:c r="F5" s="4" t="inlineStr">
        <x:is>
          <x:t xml:space="preserve">MGR-01</x:t>
        </x:is>
      </x:c>
      <x:c r="G5" s="4" t="inlineStr">
        <x:is>
          <x:t xml:space="preserve">Payments API</x:t>
        </x:is>
      </x:c>
      <x:c r="H5" s="4" t="inlineStr">
        <x:is>
          <x:t xml:space="preserve">prod</x:t>
        </x:is>
      </x:c>
      <x:c r="I5" s="18" t="n">
        <x:v>46131.8</x:v>
      </x:c>
      <x:c r="J5" s="18" t="n">
        <x:v>46133.5</x:v>
      </x:c>
      <x:c r="K5" s="4" t="inlineStr">
        <x:is>
          <x:t xml:space="preserve">success</x:t>
        </x:is>
      </x:c>
      <x:c r="L5" s="4" t="inlineStr">
        <x:is>
          <x:t xml:space="preserve">2026-04</x:t>
        </x:is>
      </x:c>
      <x:c r="M5" s="19" t="n">
        <x:v>2.9</x:v>
      </x:c>
      <x:c r="N5" s="4" t="inlineStr">
        <x:is>
          <x:t xml:space="preserve">hotfix</x:t>
        </x:is>
      </x:c>
    </x:row>
    <x:row r="6" ht="22" customHeight="1">
      <x:c r="A6" s="4" t="inlineStr">
        <x:is>
          <x:t xml:space="preserve">DEP-005</x:t>
        </x:is>
      </x:c>
      <x:c r="B6" s="4" t="inlineStr">
        <x:is>
          <x:t xml:space="preserve">PR-005</x:t>
        </x:is>
      </x:c>
      <x:c r="C6" s="4" t="inlineStr">
        <x:is>
          <x:t xml:space="preserve">JIRA-005</x:t>
        </x:is>
      </x:c>
      <x:c r="D6" s="4" t="inlineStr">
        <x:is>
          <x:t xml:space="preserve">DEV-002</x:t>
        </x:is>
      </x:c>
      <x:c r="E6" s="4" t="inlineStr">
        <x:is>
          <x:t xml:space="preserve">Noah Patel</x:t>
        </x:is>
      </x:c>
      <x:c r="F6" s="4" t="inlineStr">
        <x:is>
          <x:t xml:space="preserve">MGR-01</x:t>
        </x:is>
      </x:c>
      <x:c r="G6" s="4" t="inlineStr">
        <x:is>
          <x:t xml:space="preserve">Payments API</x:t>
        </x:is>
      </x:c>
      <x:c r="H6" s="4" t="inlineStr">
        <x:is>
          <x:t xml:space="preserve">prod</x:t>
        </x:is>
      </x:c>
      <x:c r="I6" s="18" t="n">
        <x:v>46094.9375</x:v>
      </x:c>
      <x:c r="J6" s="18" t="n">
        <x:v>46095.9375</x:v>
      </x:c>
      <x:c r="K6" s="4" t="inlineStr">
        <x:is>
          <x:t xml:space="preserve">success</x:t>
        </x:is>
      </x:c>
      <x:c r="L6" s="4" t="inlineStr">
        <x:is>
          <x:t xml:space="preserve">2026-03</x:t>
        </x:is>
      </x:c>
      <x:c r="M6" s="19" t="n">
        <x:v>3.5</x:v>
      </x:c>
      <x:c r="N6" s="4" t="inlineStr">
        <x:is>
          <x:t xml:space="preserve">hotfix</x:t>
        </x:is>
      </x:c>
    </x:row>
    <x:row r="7" ht="22" customHeight="1">
      <x:c r="A7" s="4" t="inlineStr">
        <x:is>
          <x:t xml:space="preserve">DEP-006</x:t>
        </x:is>
      </x:c>
      <x:c r="B7" s="4" t="inlineStr">
        <x:is>
          <x:t xml:space="preserve">PR-006</x:t>
        </x:is>
      </x:c>
      <x:c r="C7" s="4" t="inlineStr">
        <x:is>
          <x:t xml:space="preserve">JIRA-006</x:t>
        </x:is>
      </x:c>
      <x:c r="D7" s="4" t="inlineStr">
        <x:is>
          <x:t xml:space="preserve">DEV-002</x:t>
        </x:is>
      </x:c>
      <x:c r="E7" s="4" t="inlineStr">
        <x:is>
          <x:t xml:space="preserve">Noah Patel</x:t>
        </x:is>
      </x:c>
      <x:c r="F7" s="4" t="inlineStr">
        <x:is>
          <x:t xml:space="preserve">MGR-01</x:t>
        </x:is>
      </x:c>
      <x:c r="G7" s="4" t="inlineStr">
        <x:is>
          <x:t xml:space="preserve">Payments API</x:t>
        </x:is>
      </x:c>
      <x:c r="H7" s="4" t="inlineStr">
        <x:is>
          <x:t xml:space="preserve">prod</x:t>
        </x:is>
      </x:c>
      <x:c r="I7" s="18" t="n">
        <x:v>46104.00416666667</x:v>
      </x:c>
      <x:c r="J7" s="18" t="n">
        <x:v>46107.00416666667</x:v>
      </x:c>
      <x:c r="K7" s="4" t="inlineStr">
        <x:is>
          <x:t xml:space="preserve">success</x:t>
        </x:is>
      </x:c>
      <x:c r="L7" s="4" t="inlineStr">
        <x:is>
          <x:t xml:space="preserve">2026-03</x:t>
        </x:is>
      </x:c>
      <x:c r="M7" s="19" t="n">
        <x:v>5.1</x:v>
      </x:c>
      <x:c r="N7" s="4" t="inlineStr">
        <x:is>
          <x:t xml:space="preserve">hotfix</x:t>
        </x:is>
      </x:c>
    </x:row>
    <x:row r="8" ht="22" customHeight="1">
      <x:c r="A8" s="4" t="inlineStr">
        <x:is>
          <x:t xml:space="preserve">DEP-007</x:t>
        </x:is>
      </x:c>
      <x:c r="B8" s="4" t="inlineStr">
        <x:is>
          <x:t xml:space="preserve">PR-007</x:t>
        </x:is>
      </x:c>
      <x:c r="C8" s="4" t="inlineStr">
        <x:is>
          <x:t xml:space="preserve">JIRA-007</x:t>
        </x:is>
      </x:c>
      <x:c r="D8" s="4" t="inlineStr">
        <x:is>
          <x:t xml:space="preserve">DEV-002</x:t>
        </x:is>
      </x:c>
      <x:c r="E8" s="4" t="inlineStr">
        <x:is>
          <x:t xml:space="preserve">Noah Patel</x:t>
        </x:is>
      </x:c>
      <x:c r="F8" s="4" t="inlineStr">
        <x:is>
          <x:t xml:space="preserve">MGR-01</x:t>
        </x:is>
      </x:c>
      <x:c r="G8" s="4" t="inlineStr">
        <x:is>
          <x:t xml:space="preserve">Payments API</x:t>
        </x:is>
      </x:c>
      <x:c r="H8" s="4" t="inlineStr">
        <x:is>
          <x:t xml:space="preserve">prod</x:t>
        </x:is>
      </x:c>
      <x:c r="I8" s="18" t="n">
        <x:v>46127.1125</x:v>
      </x:c>
      <x:c r="J8" s="18" t="n">
        <x:v>46129.3125</x:v>
      </x:c>
      <x:c r="K8" s="4" t="inlineStr">
        <x:is>
          <x:t xml:space="preserve">success</x:t>
        </x:is>
      </x:c>
      <x:c r="L8" s="4" t="inlineStr">
        <x:is>
          <x:t xml:space="preserve">2026-04</x:t>
        </x:is>
      </x:c>
      <x:c r="M8" s="19" t="n">
        <x:v>4.2</x:v>
      </x:c>
      <x:c r="N8" s="4" t="inlineStr">
        <x:is>
          <x:t xml:space="preserve">standard</x:t>
        </x:is>
      </x:c>
    </x:row>
    <x:row r="9" ht="22" customHeight="1">
      <x:c r="A9" s="4" t="inlineStr">
        <x:is>
          <x:t xml:space="preserve">DEP-008</x:t>
        </x:is>
      </x:c>
      <x:c r="B9" s="4" t="inlineStr">
        <x:is>
          <x:t xml:space="preserve">PR-008</x:t>
        </x:is>
      </x:c>
      <x:c r="C9" s="4" t="inlineStr">
        <x:is>
          <x:t xml:space="preserve">JIRA-008</x:t>
        </x:is>
      </x:c>
      <x:c r="D9" s="4" t="inlineStr">
        <x:is>
          <x:t xml:space="preserve">DEV-002</x:t>
        </x:is>
      </x:c>
      <x:c r="E9" s="4" t="inlineStr">
        <x:is>
          <x:t xml:space="preserve">Noah Patel</x:t>
        </x:is>
      </x:c>
      <x:c r="F9" s="4" t="inlineStr">
        <x:is>
          <x:t xml:space="preserve">MGR-01</x:t>
        </x:is>
      </x:c>
      <x:c r="G9" s="4" t="inlineStr">
        <x:is>
          <x:t xml:space="preserve">Payments API</x:t>
        </x:is>
      </x:c>
      <x:c r="H9" s="4" t="inlineStr">
        <x:is>
          <x:t xml:space="preserve">prod</x:t>
        </x:is>
      </x:c>
      <x:c r="I9" s="18" t="n">
        <x:v>46134.89583333334</x:v>
      </x:c>
      <x:c r="J9" s="18" t="n">
        <x:v>46136.39583333334</x:v>
      </x:c>
      <x:c r="K9" s="4" t="inlineStr">
        <x:is>
          <x:t xml:space="preserve">success</x:t>
        </x:is>
      </x:c>
      <x:c r="L9" s="4" t="inlineStr">
        <x:is>
          <x:t xml:space="preserve">2026-04</x:t>
        </x:is>
      </x:c>
      <x:c r="M9" s="19" t="n">
        <x:v>3.3</x:v>
      </x:c>
      <x:c r="N9" s="4" t="inlineStr">
        <x:is>
          <x:t xml:space="preserve">standard</x:t>
        </x:is>
      </x:c>
    </x:row>
    <x:row r="10" ht="22" customHeight="1">
      <x:c r="A10" s="4" t="inlineStr">
        <x:is>
          <x:t xml:space="preserve">DEP-009</x:t>
        </x:is>
      </x:c>
      <x:c r="B10" s="4" t="inlineStr">
        <x:is>
          <x:t xml:space="preserve">PR-009</x:t>
        </x:is>
      </x:c>
      <x:c r="C10" s="4" t="inlineStr">
        <x:is>
          <x:t xml:space="preserve">JIRA-009</x:t>
        </x:is>
      </x:c>
      <x:c r="D10" s="4" t="inlineStr">
        <x:is>
          <x:t xml:space="preserve">DEV-006</x:t>
        </x:is>
      </x:c>
      <x:c r="E10" s="4" t="inlineStr">
        <x:is>
          <x:t xml:space="preserve">Ishan Mehta</x:t>
        </x:is>
      </x:c>
      <x:c r="F10" s="4" t="inlineStr">
        <x:is>
          <x:t xml:space="preserve">MGR-01</x:t>
        </x:is>
      </x:c>
      <x:c r="G10" s="4" t="inlineStr">
        <x:is>
          <x:t xml:space="preserve">Payments API</x:t>
        </x:is>
      </x:c>
      <x:c r="H10" s="4" t="inlineStr">
        <x:is>
          <x:t xml:space="preserve">prod</x:t>
        </x:is>
      </x:c>
      <x:c r="I10" s="18" t="n">
        <x:v>46101.02083333334</x:v>
      </x:c>
      <x:c r="J10" s="18" t="n">
        <x:v>46101.82083333333</x:v>
      </x:c>
      <x:c r="K10" s="4" t="inlineStr">
        <x:is>
          <x:t xml:space="preserve">success</x:t>
        </x:is>
      </x:c>
      <x:c r="L10" s="4" t="inlineStr">
        <x:is>
          <x:t xml:space="preserve">2026-03</x:t>
        </x:is>
      </x:c>
      <x:c r="M10" s="19" t="n">
        <x:v>2.4</x:v>
      </x:c>
      <x:c r="N10" s="4" t="inlineStr">
        <x:is>
          <x:t xml:space="preserve">standard</x:t>
        </x:is>
      </x:c>
    </x:row>
    <x:row r="11" ht="22" customHeight="1">
      <x:c r="A11" s="4" t="inlineStr">
        <x:is>
          <x:t xml:space="preserve">DEP-010</x:t>
        </x:is>
      </x:c>
      <x:c r="B11" s="4" t="inlineStr">
        <x:is>
          <x:t xml:space="preserve">PR-010</x:t>
        </x:is>
      </x:c>
      <x:c r="C11" s="4" t="inlineStr">
        <x:is>
          <x:t xml:space="preserve">JIRA-010</x:t>
        </x:is>
      </x:c>
      <x:c r="D11" s="4" t="inlineStr">
        <x:is>
          <x:t xml:space="preserve">DEV-006</x:t>
        </x:is>
      </x:c>
      <x:c r="E11" s="4" t="inlineStr">
        <x:is>
          <x:t xml:space="preserve">Ishan Mehta</x:t>
        </x:is>
      </x:c>
      <x:c r="F11" s="4" t="inlineStr">
        <x:is>
          <x:t xml:space="preserve">MGR-01</x:t>
        </x:is>
      </x:c>
      <x:c r="G11" s="4" t="inlineStr">
        <x:is>
          <x:t xml:space="preserve">Payments API</x:t>
        </x:is>
      </x:c>
      <x:c r="H11" s="4" t="inlineStr">
        <x:is>
          <x:t xml:space="preserve">prod</x:t>
        </x:is>
      </x:c>
      <x:c r="I11" s="18" t="n">
        <x:v>46104.44583333333</x:v>
      </x:c>
      <x:c r="J11" s="18" t="n">
        <x:v>46104.94583333333</x:v>
      </x:c>
      <x:c r="K11" s="4" t="inlineStr">
        <x:is>
          <x:t xml:space="preserve">success</x:t>
        </x:is>
      </x:c>
      <x:c r="L11" s="4" t="inlineStr">
        <x:is>
          <x:t xml:space="preserve">2026-03</x:t>
        </x:is>
      </x:c>
      <x:c r="M11" s="19" t="n">
        <x:v>2.3</x:v>
      </x:c>
      <x:c r="N11" s="4" t="inlineStr">
        <x:is>
          <x:t xml:space="preserve">hotfix</x:t>
        </x:is>
      </x:c>
    </x:row>
    <x:row r="12" ht="22" customHeight="1">
      <x:c r="A12" s="4" t="inlineStr">
        <x:is>
          <x:t xml:space="preserve">DEP-011</x:t>
        </x:is>
      </x:c>
      <x:c r="B12" s="4" t="inlineStr">
        <x:is>
          <x:t xml:space="preserve">PR-011</x:t>
        </x:is>
      </x:c>
      <x:c r="C12" s="4" t="inlineStr">
        <x:is>
          <x:t xml:space="preserve">JIRA-011</x:t>
        </x:is>
      </x:c>
      <x:c r="D12" s="4" t="inlineStr">
        <x:is>
          <x:t xml:space="preserve">DEV-006</x:t>
        </x:is>
      </x:c>
      <x:c r="E12" s="4" t="inlineStr">
        <x:is>
          <x:t xml:space="preserve">Ishan Mehta</x:t>
        </x:is>
      </x:c>
      <x:c r="F12" s="4" t="inlineStr">
        <x:is>
          <x:t xml:space="preserve">MGR-01</x:t>
        </x:is>
      </x:c>
      <x:c r="G12" s="4" t="inlineStr">
        <x:is>
          <x:t xml:space="preserve">Payments API</x:t>
        </x:is>
      </x:c>
      <x:c r="H12" s="4" t="inlineStr">
        <x:is>
          <x:t xml:space="preserve">prod</x:t>
        </x:is>
      </x:c>
      <x:c r="I12" s="18" t="n">
        <x:v>46120.875</x:v>
      </x:c>
      <x:c r="J12" s="18" t="n">
        <x:v>46121.575</x:v>
      </x:c>
      <x:c r="K12" s="4" t="inlineStr">
        <x:is>
          <x:t xml:space="preserve">success</x:t>
        </x:is>
      </x:c>
      <x:c r="L12" s="4" t="inlineStr">
        <x:is>
          <x:t xml:space="preserve">2026-04</x:t>
        </x:is>
      </x:c>
      <x:c r="M12" s="19" t="n">
        <x:v>1.8</x:v>
      </x:c>
      <x:c r="N12" s="4" t="inlineStr">
        <x:is>
          <x:t xml:space="preserve">hotfix</x:t>
        </x:is>
      </x:c>
    </x:row>
    <x:row r="13" ht="22" customHeight="1">
      <x:c r="A13" s="4" t="inlineStr">
        <x:is>
          <x:t xml:space="preserve">DEP-012</x:t>
        </x:is>
      </x:c>
      <x:c r="B13" s="4" t="inlineStr">
        <x:is>
          <x:t xml:space="preserve">PR-012</x:t>
        </x:is>
      </x:c>
      <x:c r="C13" s="4" t="inlineStr">
        <x:is>
          <x:t xml:space="preserve">JIRA-012</x:t>
        </x:is>
      </x:c>
      <x:c r="D13" s="4" t="inlineStr">
        <x:is>
          <x:t xml:space="preserve">DEV-006</x:t>
        </x:is>
      </x:c>
      <x:c r="E13" s="4" t="inlineStr">
        <x:is>
          <x:t xml:space="preserve">Ishan Mehta</x:t>
        </x:is>
      </x:c>
      <x:c r="F13" s="4" t="inlineStr">
        <x:is>
          <x:t xml:space="preserve">MGR-01</x:t>
        </x:is>
      </x:c>
      <x:c r="G13" s="4" t="inlineStr">
        <x:is>
          <x:t xml:space="preserve">Payments API</x:t>
        </x:is>
      </x:c>
      <x:c r="H13" s="4" t="inlineStr">
        <x:is>
          <x:t xml:space="preserve">prod</x:t>
        </x:is>
      </x:c>
      <x:c r="I13" s="18" t="n">
        <x:v>46129.775</x:v>
      </x:c>
      <x:c r="J13" s="18" t="n">
        <x:v>46131.175</x:v>
      </x:c>
      <x:c r="K13" s="4" t="inlineStr">
        <x:is>
          <x:t xml:space="preserve">success</x:t>
        </x:is>
      </x:c>
      <x:c r="L13" s="4" t="inlineStr">
        <x:is>
          <x:t xml:space="preserve">2026-04</x:t>
        </x:is>
      </x:c>
      <x:c r="M13" s="19" t="n">
        <x:v>2.9</x:v>
      </x:c>
      <x:c r="N13" s="4" t="inlineStr">
        <x:is>
          <x:t xml:space="preserve">standard</x:t>
        </x:is>
      </x:c>
    </x:row>
    <x:row r="14" ht="22" customHeight="1">
      <x:c r="A14" s="4" t="inlineStr">
        <x:is>
          <x:t xml:space="preserve">DEP-013</x:t>
        </x:is>
      </x:c>
      <x:c r="B14" s="4" t="inlineStr">
        <x:is>
          <x:t xml:space="preserve">PR-013</x:t>
        </x:is>
      </x:c>
      <x:c r="C14" s="4" t="inlineStr">
        <x:is>
          <x:t xml:space="preserve">JIRA-013</x:t>
        </x:is>
      </x:c>
      <x:c r="D14" s="4" t="inlineStr">
        <x:is>
          <x:t xml:space="preserve">DEV-003</x:t>
        </x:is>
      </x:c>
      <x:c r="E14" s="4" t="inlineStr">
        <x:is>
          <x:t xml:space="preserve">Mia Lopez</x:t>
        </x:is>
      </x:c>
      <x:c r="F14" s="4" t="inlineStr">
        <x:is>
          <x:t xml:space="preserve">MGR-02</x:t>
        </x:is>
      </x:c>
      <x:c r="G14" s="4" t="inlineStr">
        <x:is>
          <x:t xml:space="preserve">Checkout Web</x:t>
        </x:is>
      </x:c>
      <x:c r="H14" s="4" t="inlineStr">
        <x:is>
          <x:t xml:space="preserve">prod</x:t>
        </x:is>
      </x:c>
      <x:c r="I14" s="18" t="n">
        <x:v>46089.62083333333</x:v>
      </x:c>
      <x:c r="J14" s="18" t="n">
        <x:v>46092.22083333333</x:v>
      </x:c>
      <x:c r="K14" s="4" t="inlineStr">
        <x:is>
          <x:t xml:space="preserve">success</x:t>
        </x:is>
      </x:c>
      <x:c r="L14" s="4" t="inlineStr">
        <x:is>
          <x:t xml:space="preserve">2026-03</x:t>
        </x:is>
      </x:c>
      <x:c r="M14" s="19" t="n">
        <x:v>4.7</x:v>
      </x:c>
      <x:c r="N14" s="4" t="inlineStr">
        <x:is>
          <x:t xml:space="preserve">standard</x:t>
        </x:is>
      </x:c>
    </x:row>
    <x:row r="15" ht="22" customHeight="1">
      <x:c r="A15" s="4" t="inlineStr">
        <x:is>
          <x:t xml:space="preserve">DEP-014</x:t>
        </x:is>
      </x:c>
      <x:c r="B15" s="4" t="inlineStr">
        <x:is>
          <x:t xml:space="preserve">PR-014</x:t>
        </x:is>
      </x:c>
      <x:c r="C15" s="4" t="inlineStr">
        <x:is>
          <x:t xml:space="preserve">JIRA-014</x:t>
        </x:is>
      </x:c>
      <x:c r="D15" s="4" t="inlineStr">
        <x:is>
          <x:t xml:space="preserve">DEV-003</x:t>
        </x:is>
      </x:c>
      <x:c r="E15" s="4" t="inlineStr">
        <x:is>
          <x:t xml:space="preserve">Mia Lopez</x:t>
        </x:is>
      </x:c>
      <x:c r="F15" s="4" t="inlineStr">
        <x:is>
          <x:t xml:space="preserve">MGR-02</x:t>
        </x:is>
      </x:c>
      <x:c r="G15" s="4" t="inlineStr">
        <x:is>
          <x:t xml:space="preserve">Checkout Web</x:t>
        </x:is>
      </x:c>
      <x:c r="H15" s="4" t="inlineStr">
        <x:is>
          <x:t xml:space="preserve">prod</x:t>
        </x:is>
      </x:c>
      <x:c r="I15" s="18" t="n">
        <x:v>46091.91666666666</x:v>
      </x:c>
      <x:c r="J15" s="18" t="n">
        <x:v>46093.21666666667</x:v>
      </x:c>
      <x:c r="K15" s="4" t="inlineStr">
        <x:is>
          <x:t xml:space="preserve">success</x:t>
        </x:is>
      </x:c>
      <x:c r="L15" s="4" t="inlineStr">
        <x:is>
          <x:t xml:space="preserve">2026-03</x:t>
        </x:is>
      </x:c>
      <x:c r="M15" s="19" t="n">
        <x:v>3</x:v>
      </x:c>
      <x:c r="N15" s="4" t="inlineStr">
        <x:is>
          <x:t xml:space="preserve">standard</x:t>
        </x:is>
      </x:c>
    </x:row>
    <x:row r="16" ht="22" customHeight="1">
      <x:c r="A16" s="4" t="inlineStr">
        <x:is>
          <x:t xml:space="preserve">DEP-015</x:t>
        </x:is>
      </x:c>
      <x:c r="B16" s="4" t="inlineStr">
        <x:is>
          <x:t xml:space="preserve">PR-015</x:t>
        </x:is>
      </x:c>
      <x:c r="C16" s="4" t="inlineStr">
        <x:is>
          <x:t xml:space="preserve">JIRA-015</x:t>
        </x:is>
      </x:c>
      <x:c r="D16" s="4" t="inlineStr">
        <x:is>
          <x:t xml:space="preserve">DEV-003</x:t>
        </x:is>
      </x:c>
      <x:c r="E16" s="4" t="inlineStr">
        <x:is>
          <x:t xml:space="preserve">Mia Lopez</x:t>
        </x:is>
      </x:c>
      <x:c r="F16" s="4" t="inlineStr">
        <x:is>
          <x:t xml:space="preserve">MGR-02</x:t>
        </x:is>
      </x:c>
      <x:c r="G16" s="4" t="inlineStr">
        <x:is>
          <x:t xml:space="preserve">Checkout Web</x:t>
        </x:is>
      </x:c>
      <x:c r="H16" s="4" t="inlineStr">
        <x:is>
          <x:t xml:space="preserve">prod</x:t>
        </x:is>
      </x:c>
      <x:c r="I16" s="18" t="n">
        <x:v>46124.16666666666</x:v>
      </x:c>
      <x:c r="J16" s="18" t="n">
        <x:v>46125.36666666667</x:v>
      </x:c>
      <x:c r="K16" s="4" t="inlineStr">
        <x:is>
          <x:t xml:space="preserve">success</x:t>
        </x:is>
      </x:c>
      <x:c r="L16" s="4" t="inlineStr">
        <x:is>
          <x:t xml:space="preserve">2026-04</x:t>
        </x:is>
      </x:c>
      <x:c r="M16" s="19" t="n">
        <x:v>3.1</x:v>
      </x:c>
      <x:c r="N16" s="4" t="inlineStr">
        <x:is>
          <x:t xml:space="preserve">standard</x:t>
        </x:is>
      </x:c>
    </x:row>
    <x:row r="17" ht="22" customHeight="1">
      <x:c r="A17" s="4" t="inlineStr">
        <x:is>
          <x:t xml:space="preserve">DEP-016</x:t>
        </x:is>
      </x:c>
      <x:c r="B17" s="4" t="inlineStr">
        <x:is>
          <x:t xml:space="preserve">PR-016</x:t>
        </x:is>
      </x:c>
      <x:c r="C17" s="4" t="inlineStr">
        <x:is>
          <x:t xml:space="preserve">JIRA-016</x:t>
        </x:is>
      </x:c>
      <x:c r="D17" s="4" t="inlineStr">
        <x:is>
          <x:t xml:space="preserve">DEV-003</x:t>
        </x:is>
      </x:c>
      <x:c r="E17" s="4" t="inlineStr">
        <x:is>
          <x:t xml:space="preserve">Mia Lopez</x:t>
        </x:is>
      </x:c>
      <x:c r="F17" s="4" t="inlineStr">
        <x:is>
          <x:t xml:space="preserve">MGR-02</x:t>
        </x:is>
      </x:c>
      <x:c r="G17" s="4" t="inlineStr">
        <x:is>
          <x:t xml:space="preserve">Checkout Web</x:t>
        </x:is>
      </x:c>
      <x:c r="H17" s="4" t="inlineStr">
        <x:is>
          <x:t xml:space="preserve">prod</x:t>
        </x:is>
      </x:c>
      <x:c r="I17" s="18" t="n">
        <x:v>46121.17916666667</x:v>
      </x:c>
      <x:c r="J17" s="18" t="n">
        <x:v>46123.67916666667</x:v>
      </x:c>
      <x:c r="K17" s="4" t="inlineStr">
        <x:is>
          <x:t xml:space="preserve">success</x:t>
        </x:is>
      </x:c>
      <x:c r="L17" s="4" t="inlineStr">
        <x:is>
          <x:t xml:space="preserve">2026-04</x:t>
        </x:is>
      </x:c>
      <x:c r="M17" s="19" t="n">
        <x:v>4</x:v>
      </x:c>
      <x:c r="N17" s="4" t="inlineStr">
        <x:is>
          <x:t xml:space="preserve">standard</x:t>
        </x:is>
      </x:c>
    </x:row>
    <x:row r="18" ht="22" customHeight="1">
      <x:c r="A18" s="4" t="inlineStr">
        <x:is>
          <x:t xml:space="preserve">DEP-017</x:t>
        </x:is>
      </x:c>
      <x:c r="B18" s="4" t="inlineStr">
        <x:is>
          <x:t xml:space="preserve">PR-017</x:t>
        </x:is>
      </x:c>
      <x:c r="C18" s="4" t="inlineStr">
        <x:is>
          <x:t xml:space="preserve">JIRA-017</x:t>
        </x:is>
      </x:c>
      <x:c r="D18" s="4" t="inlineStr">
        <x:is>
          <x:t xml:space="preserve">DEV-004</x:t>
        </x:is>
      </x:c>
      <x:c r="E18" s="4" t="inlineStr">
        <x:is>
          <x:t xml:space="preserve">Lucas Reed</x:t>
        </x:is>
      </x:c>
      <x:c r="F18" s="4" t="inlineStr">
        <x:is>
          <x:t xml:space="preserve">MGR-02</x:t>
        </x:is>
      </x:c>
      <x:c r="G18" s="4" t="inlineStr">
        <x:is>
          <x:t xml:space="preserve">Checkout Web</x:t>
        </x:is>
      </x:c>
      <x:c r="H18" s="4" t="inlineStr">
        <x:is>
          <x:t xml:space="preserve">prod</x:t>
        </x:is>
      </x:c>
      <x:c r="I18" s="18" t="n">
        <x:v>46087.43333333333</x:v>
      </x:c>
      <x:c r="J18" s="18" t="n">
        <x:v>46088.03333333333</x:v>
      </x:c>
      <x:c r="K18" s="4" t="inlineStr">
        <x:is>
          <x:t xml:space="preserve">success</x:t>
        </x:is>
      </x:c>
      <x:c r="L18" s="4" t="inlineStr">
        <x:is>
          <x:t xml:space="preserve">2026-03</x:t>
        </x:is>
      </x:c>
      <x:c r="M18" s="19" t="n">
        <x:v>1.9</x:v>
      </x:c>
      <x:c r="N18" s="4" t="inlineStr">
        <x:is>
          <x:t xml:space="preserve">standard</x:t>
        </x:is>
      </x:c>
    </x:row>
    <x:row r="19" ht="22" customHeight="1">
      <x:c r="A19" s="4" t="inlineStr">
        <x:is>
          <x:t xml:space="preserve">DEP-018</x:t>
        </x:is>
      </x:c>
      <x:c r="B19" s="4" t="inlineStr">
        <x:is>
          <x:t xml:space="preserve">PR-018</x:t>
        </x:is>
      </x:c>
      <x:c r="C19" s="4" t="inlineStr">
        <x:is>
          <x:t xml:space="preserve">JIRA-018</x:t>
        </x:is>
      </x:c>
      <x:c r="D19" s="4" t="inlineStr">
        <x:is>
          <x:t xml:space="preserve">DEV-004</x:t>
        </x:is>
      </x:c>
      <x:c r="E19" s="4" t="inlineStr">
        <x:is>
          <x:t xml:space="preserve">Lucas Reed</x:t>
        </x:is>
      </x:c>
      <x:c r="F19" s="4" t="inlineStr">
        <x:is>
          <x:t xml:space="preserve">MGR-02</x:t>
        </x:is>
      </x:c>
      <x:c r="G19" s="4" t="inlineStr">
        <x:is>
          <x:t xml:space="preserve">Checkout Web</x:t>
        </x:is>
      </x:c>
      <x:c r="H19" s="4" t="inlineStr">
        <x:is>
          <x:t xml:space="preserve">prod</x:t>
        </x:is>
      </x:c>
      <x:c r="I19" s="18" t="n">
        <x:v>46107.36666666667</x:v>
      </x:c>
      <x:c r="J19" s="18" t="n">
        <x:v>46108.46666666667</x:v>
      </x:c>
      <x:c r="K19" s="4" t="inlineStr">
        <x:is>
          <x:t xml:space="preserve">success</x:t>
        </x:is>
      </x:c>
      <x:c r="L19" s="4" t="inlineStr">
        <x:is>
          <x:t xml:space="preserve">2026-03</x:t>
        </x:is>
      </x:c>
      <x:c r="M19" s="19" t="n">
        <x:v>2.3</x:v>
      </x:c>
      <x:c r="N19" s="4" t="inlineStr">
        <x:is>
          <x:t xml:space="preserve">standard</x:t>
        </x:is>
      </x:c>
    </x:row>
    <x:row r="20" ht="22" customHeight="1">
      <x:c r="A20" s="4" t="inlineStr">
        <x:is>
          <x:t xml:space="preserve">DEP-019</x:t>
        </x:is>
      </x:c>
      <x:c r="B20" s="4" t="inlineStr">
        <x:is>
          <x:t xml:space="preserve">PR-019</x:t>
        </x:is>
      </x:c>
      <x:c r="C20" s="4" t="inlineStr">
        <x:is>
          <x:t xml:space="preserve">JIRA-019</x:t>
        </x:is>
      </x:c>
      <x:c r="D20" s="4" t="inlineStr">
        <x:is>
          <x:t xml:space="preserve">DEV-004</x:t>
        </x:is>
      </x:c>
      <x:c r="E20" s="4" t="inlineStr">
        <x:is>
          <x:t xml:space="preserve">Lucas Reed</x:t>
        </x:is>
      </x:c>
      <x:c r="F20" s="4" t="inlineStr">
        <x:is>
          <x:t xml:space="preserve">MGR-02</x:t>
        </x:is>
      </x:c>
      <x:c r="G20" s="4" t="inlineStr">
        <x:is>
          <x:t xml:space="preserve">Checkout Web</x:t>
        </x:is>
      </x:c>
      <x:c r="H20" s="4" t="inlineStr">
        <x:is>
          <x:t xml:space="preserve">prod</x:t>
        </x:is>
      </x:c>
      <x:c r="I20" s="18" t="n">
        <x:v>46137.79166666666</x:v>
      </x:c>
      <x:c r="J20" s="18" t="n">
        <x:v>46139.69166666667</x:v>
      </x:c>
      <x:c r="K20" s="4" t="inlineStr">
        <x:is>
          <x:t xml:space="preserve">success</x:t>
        </x:is>
      </x:c>
      <x:c r="L20" s="4" t="inlineStr">
        <x:is>
          <x:t xml:space="preserve">2026-04</x:t>
        </x:is>
      </x:c>
      <x:c r="M20" s="19" t="n">
        <x:v>3.4</x:v>
      </x:c>
      <x:c r="N20" s="4" t="inlineStr">
        <x:is>
          <x:t xml:space="preserve">standard</x:t>
        </x:is>
      </x:c>
    </x:row>
    <x:row r="21" ht="22" customHeight="1">
      <x:c r="A21" s="4" t="inlineStr">
        <x:is>
          <x:t xml:space="preserve">DEP-020</x:t>
        </x:is>
      </x:c>
      <x:c r="B21" s="4" t="inlineStr">
        <x:is>
          <x:t xml:space="preserve">PR-020</x:t>
        </x:is>
      </x:c>
      <x:c r="C21" s="4" t="inlineStr">
        <x:is>
          <x:t xml:space="preserve">JIRA-020</x:t>
        </x:is>
      </x:c>
      <x:c r="D21" s="4" t="inlineStr">
        <x:is>
          <x:t xml:space="preserve">DEV-004</x:t>
        </x:is>
      </x:c>
      <x:c r="E21" s="4" t="inlineStr">
        <x:is>
          <x:t xml:space="preserve">Lucas Reed</x:t>
        </x:is>
      </x:c>
      <x:c r="F21" s="4" t="inlineStr">
        <x:is>
          <x:t xml:space="preserve">MGR-02</x:t>
        </x:is>
      </x:c>
      <x:c r="G21" s="4" t="inlineStr">
        <x:is>
          <x:t xml:space="preserve">Checkout Web</x:t>
        </x:is>
      </x:c>
      <x:c r="H21" s="4" t="inlineStr">
        <x:is>
          <x:t xml:space="preserve">prod</x:t>
        </x:is>
      </x:c>
      <x:c r="I21" s="18" t="n">
        <x:v>46126.84166666667</x:v>
      </x:c>
      <x:c r="J21" s="18" t="n">
        <x:v>46127.84166666667</x:v>
      </x:c>
      <x:c r="K21" s="4" t="inlineStr">
        <x:is>
          <x:t xml:space="preserve">success</x:t>
        </x:is>
      </x:c>
      <x:c r="L21" s="4" t="inlineStr">
        <x:is>
          <x:t xml:space="preserve">2026-04</x:t>
        </x:is>
      </x:c>
      <x:c r="M21" s="19" t="n">
        <x:v>2.4</x:v>
      </x:c>
      <x:c r="N21" s="4" t="inlineStr">
        <x:is>
          <x:t xml:space="preserve">standard</x:t>
        </x:is>
      </x:c>
    </x:row>
    <x:row r="22" ht="22" customHeight="1">
      <x:c r="A22" s="4" t="inlineStr">
        <x:is>
          <x:t xml:space="preserve">DEP-021</x:t>
        </x:is>
      </x:c>
      <x:c r="B22" s="4" t="inlineStr">
        <x:is>
          <x:t xml:space="preserve">PR-021</x:t>
        </x:is>
      </x:c>
      <x:c r="C22" s="4" t="inlineStr">
        <x:is>
          <x:t xml:space="preserve">JIRA-021</x:t>
        </x:is>
      </x:c>
      <x:c r="D22" s="4" t="inlineStr">
        <x:is>
          <x:t xml:space="preserve">DEV-008</x:t>
        </x:is>
      </x:c>
      <x:c r="E22" s="4" t="inlineStr">
        <x:is>
          <x:t xml:space="preserve">Zara Khan</x:t>
        </x:is>
      </x:c>
      <x:c r="F22" s="4" t="inlineStr">
        <x:is>
          <x:t xml:space="preserve">MGR-02</x:t>
        </x:is>
      </x:c>
      <x:c r="G22" s="4" t="inlineStr">
        <x:is>
          <x:t xml:space="preserve">Checkout Web</x:t>
        </x:is>
      </x:c>
      <x:c r="H22" s="4" t="inlineStr">
        <x:is>
          <x:t xml:space="preserve">prod</x:t>
        </x:is>
      </x:c>
      <x:c r="I22" s="18" t="n">
        <x:v>46091.74583333333</x:v>
      </x:c>
      <x:c r="J22" s="18" t="n">
        <x:v>46092.44583333333</x:v>
      </x:c>
      <x:c r="K22" s="4" t="inlineStr">
        <x:is>
          <x:t xml:space="preserve">success</x:t>
        </x:is>
      </x:c>
      <x:c r="L22" s="4" t="inlineStr">
        <x:is>
          <x:t xml:space="preserve">2026-03</x:t>
        </x:is>
      </x:c>
      <x:c r="M22" s="19" t="n">
        <x:v>2.4</x:v>
      </x:c>
      <x:c r="N22" s="4" t="inlineStr">
        <x:is>
          <x:t xml:space="preserve">standard</x:t>
        </x:is>
      </x:c>
    </x:row>
    <x:row r="23" ht="22" customHeight="1">
      <x:c r="A23" s="4" t="inlineStr">
        <x:is>
          <x:t xml:space="preserve">DEP-022</x:t>
        </x:is>
      </x:c>
      <x:c r="B23" s="4" t="inlineStr">
        <x:is>
          <x:t xml:space="preserve">PR-022</x:t>
        </x:is>
      </x:c>
      <x:c r="C23" s="4" t="inlineStr">
        <x:is>
          <x:t xml:space="preserve">JIRA-022</x:t>
        </x:is>
      </x:c>
      <x:c r="D23" s="4" t="inlineStr">
        <x:is>
          <x:t xml:space="preserve">DEV-008</x:t>
        </x:is>
      </x:c>
      <x:c r="E23" s="4" t="inlineStr">
        <x:is>
          <x:t xml:space="preserve">Zara Khan</x:t>
        </x:is>
      </x:c>
      <x:c r="F23" s="4" t="inlineStr">
        <x:is>
          <x:t xml:space="preserve">MGR-02</x:t>
        </x:is>
      </x:c>
      <x:c r="G23" s="4" t="inlineStr">
        <x:is>
          <x:t xml:space="preserve">Checkout Web</x:t>
        </x:is>
      </x:c>
      <x:c r="H23" s="4" t="inlineStr">
        <x:is>
          <x:t xml:space="preserve">prod</x:t>
        </x:is>
      </x:c>
      <x:c r="I23" s="18" t="n">
        <x:v>46095.325</x:v>
      </x:c>
      <x:c r="J23" s="18" t="n">
        <x:v>46096.925</x:v>
      </x:c>
      <x:c r="K23" s="4" t="inlineStr">
        <x:is>
          <x:t xml:space="preserve">success</x:t>
        </x:is>
      </x:c>
      <x:c r="L23" s="4" t="inlineStr">
        <x:is>
          <x:t xml:space="preserve">2026-03</x:t>
        </x:is>
      </x:c>
      <x:c r="M23" s="19" t="n">
        <x:v>3.9</x:v>
      </x:c>
      <x:c r="N23" s="4" t="inlineStr">
        <x:is>
          <x:t xml:space="preserve">standard</x:t>
        </x:is>
      </x:c>
    </x:row>
    <x:row r="24" ht="22" customHeight="1">
      <x:c r="A24" s="4" t="inlineStr">
        <x:is>
          <x:t xml:space="preserve">DEP-023</x:t>
        </x:is>
      </x:c>
      <x:c r="B24" s="4" t="inlineStr">
        <x:is>
          <x:t xml:space="preserve">PR-023</x:t>
        </x:is>
      </x:c>
      <x:c r="C24" s="4" t="inlineStr">
        <x:is>
          <x:t xml:space="preserve">JIRA-023</x:t>
        </x:is>
      </x:c>
      <x:c r="D24" s="4" t="inlineStr">
        <x:is>
          <x:t xml:space="preserve">DEV-008</x:t>
        </x:is>
      </x:c>
      <x:c r="E24" s="4" t="inlineStr">
        <x:is>
          <x:t xml:space="preserve">Zara Khan</x:t>
        </x:is>
      </x:c>
      <x:c r="F24" s="4" t="inlineStr">
        <x:is>
          <x:t xml:space="preserve">MGR-02</x:t>
        </x:is>
      </x:c>
      <x:c r="G24" s="4" t="inlineStr">
        <x:is>
          <x:t xml:space="preserve">Checkout Web</x:t>
        </x:is>
      </x:c>
      <x:c r="H24" s="4" t="inlineStr">
        <x:is>
          <x:t xml:space="preserve">prod</x:t>
        </x:is>
      </x:c>
      <x:c r="I24" s="18" t="n">
        <x:v>46124.62916666667</x:v>
      </x:c>
      <x:c r="J24" s="18" t="n">
        <x:v>46126.52916666667</x:v>
      </x:c>
      <x:c r="K24" s="4" t="inlineStr">
        <x:is>
          <x:t xml:space="preserve">success</x:t>
        </x:is>
      </x:c>
      <x:c r="L24" s="4" t="inlineStr">
        <x:is>
          <x:t xml:space="preserve">2026-04</x:t>
        </x:is>
      </x:c>
      <x:c r="M24" s="19" t="n">
        <x:v>3.9</x:v>
      </x:c>
      <x:c r="N24" s="4" t="inlineStr">
        <x:is>
          <x:t xml:space="preserve">hotfix</x:t>
        </x:is>
      </x:c>
    </x:row>
    <x:row r="25" ht="22" customHeight="1">
      <x:c r="A25" s="4" t="inlineStr">
        <x:is>
          <x:t xml:space="preserve">DEP-024</x:t>
        </x:is>
      </x:c>
      <x:c r="B25" s="4" t="inlineStr">
        <x:is>
          <x:t xml:space="preserve">PR-024</x:t>
        </x:is>
      </x:c>
      <x:c r="C25" s="4" t="inlineStr">
        <x:is>
          <x:t xml:space="preserve">JIRA-024</x:t>
        </x:is>
      </x:c>
      <x:c r="D25" s="4" t="inlineStr">
        <x:is>
          <x:t xml:space="preserve">DEV-008</x:t>
        </x:is>
      </x:c>
      <x:c r="E25" s="4" t="inlineStr">
        <x:is>
          <x:t xml:space="preserve">Zara Khan</x:t>
        </x:is>
      </x:c>
      <x:c r="F25" s="4" t="inlineStr">
        <x:is>
          <x:t xml:space="preserve">MGR-02</x:t>
        </x:is>
      </x:c>
      <x:c r="G25" s="4" t="inlineStr">
        <x:is>
          <x:t xml:space="preserve">Checkout Web</x:t>
        </x:is>
      </x:c>
      <x:c r="H25" s="4" t="inlineStr">
        <x:is>
          <x:t xml:space="preserve">prod</x:t>
        </x:is>
      </x:c>
      <x:c r="I25" s="18" t="n">
        <x:v>46127.5375</x:v>
      </x:c>
      <x:c r="J25" s="18" t="n">
        <x:v>46128.5375</x:v>
      </x:c>
      <x:c r="K25" s="4" t="inlineStr">
        <x:is>
          <x:t xml:space="preserve">success</x:t>
        </x:is>
      </x:c>
      <x:c r="L25" s="4" t="inlineStr">
        <x:is>
          <x:t xml:space="preserve">2026-04</x:t>
        </x:is>
      </x:c>
      <x:c r="M25" s="19" t="n">
        <x:v>2.9</x:v>
      </x:c>
      <x:c r="N25" s="4" t="inlineStr">
        <x:is>
          <x:t xml:space="preserve">hotfix</x:t>
        </x:is>
      </x:c>
    </x:row>
    <x:row r="26" ht="22" customHeight="1">
      <x:c r="A26" s="4" t="inlineStr">
        <x:is>
          <x:t xml:space="preserve">DEP-025</x:t>
        </x:is>
      </x:c>
      <x:c r="B26" s="4" t="inlineStr">
        <x:is>
          <x:t xml:space="preserve">PR-025</x:t>
        </x:is>
      </x:c>
      <x:c r="C26" s="4" t="inlineStr">
        <x:is>
          <x:t xml:space="preserve">JIRA-025</x:t>
        </x:is>
      </x:c>
      <x:c r="D26" s="4" t="inlineStr">
        <x:is>
          <x:t xml:space="preserve">DEV-005</x:t>
        </x:is>
      </x:c>
      <x:c r="E26" s="4" t="inlineStr">
        <x:is>
          <x:t xml:space="preserve">Emma Roy</x:t>
        </x:is>
      </x:c>
      <x:c r="F26" s="4" t="inlineStr">
        <x:is>
          <x:t xml:space="preserve">MGR-03</x:t>
        </x:is>
      </x:c>
      <x:c r="G26" s="4" t="inlineStr">
        <x:is>
          <x:t xml:space="preserve">Mobile Growth</x:t>
        </x:is>
      </x:c>
      <x:c r="H26" s="4" t="inlineStr">
        <x:is>
          <x:t xml:space="preserve">prod</x:t>
        </x:is>
      </x:c>
      <x:c r="I26" s="18" t="n">
        <x:v>46104.20416666667</x:v>
      </x:c>
      <x:c r="J26" s="18" t="n">
        <x:v>46106.50416666667</x:v>
      </x:c>
      <x:c r="K26" s="4" t="inlineStr">
        <x:is>
          <x:t xml:space="preserve">success</x:t>
        </x:is>
      </x:c>
      <x:c r="L26" s="4" t="inlineStr">
        <x:is>
          <x:t xml:space="preserve">2026-03</x:t>
        </x:is>
      </x:c>
      <x:c r="M26" s="19" t="n">
        <x:v>4.4</x:v>
      </x:c>
      <x:c r="N26" s="4" t="inlineStr">
        <x:is>
          <x:t xml:space="preserve">hotfix</x:t>
        </x:is>
      </x:c>
    </x:row>
    <x:row r="27" ht="22" customHeight="1">
      <x:c r="A27" s="4" t="inlineStr">
        <x:is>
          <x:t xml:space="preserve">DEP-026</x:t>
        </x:is>
      </x:c>
      <x:c r="B27" s="4" t="inlineStr">
        <x:is>
          <x:t xml:space="preserve">PR-026</x:t>
        </x:is>
      </x:c>
      <x:c r="C27" s="4" t="inlineStr">
        <x:is>
          <x:t xml:space="preserve">JIRA-026</x:t>
        </x:is>
      </x:c>
      <x:c r="D27" s="4" t="inlineStr">
        <x:is>
          <x:t xml:space="preserve">DEV-005</x:t>
        </x:is>
      </x:c>
      <x:c r="E27" s="4" t="inlineStr">
        <x:is>
          <x:t xml:space="preserve">Emma Roy</x:t>
        </x:is>
      </x:c>
      <x:c r="F27" s="4" t="inlineStr">
        <x:is>
          <x:t xml:space="preserve">MGR-03</x:t>
        </x:is>
      </x:c>
      <x:c r="G27" s="4" t="inlineStr">
        <x:is>
          <x:t xml:space="preserve">Mobile Growth</x:t>
        </x:is>
      </x:c>
      <x:c r="H27" s="4" t="inlineStr">
        <x:is>
          <x:t xml:space="preserve">prod</x:t>
        </x:is>
      </x:c>
      <x:c r="I27" s="18" t="n">
        <x:v>46092.69583333333</x:v>
      </x:c>
      <x:c r="J27" s="18" t="n">
        <x:v>46095.99583333333</x:v>
      </x:c>
      <x:c r="K27" s="4" t="inlineStr">
        <x:is>
          <x:t xml:space="preserve">success</x:t>
        </x:is>
      </x:c>
      <x:c r="L27" s="4" t="inlineStr">
        <x:is>
          <x:t xml:space="preserve">2026-03</x:t>
        </x:is>
      </x:c>
      <x:c r="M27" s="19" t="n">
        <x:v>5.5</x:v>
      </x:c>
      <x:c r="N27" s="4" t="inlineStr">
        <x:is>
          <x:t xml:space="preserve">standard</x:t>
        </x:is>
      </x:c>
    </x:row>
    <x:row r="28" ht="22" customHeight="1">
      <x:c r="A28" s="4" t="inlineStr">
        <x:is>
          <x:t xml:space="preserve">DEP-027</x:t>
        </x:is>
      </x:c>
      <x:c r="B28" s="4" t="inlineStr">
        <x:is>
          <x:t xml:space="preserve">PR-027</x:t>
        </x:is>
      </x:c>
      <x:c r="C28" s="4" t="inlineStr">
        <x:is>
          <x:t xml:space="preserve">JIRA-027</x:t>
        </x:is>
      </x:c>
      <x:c r="D28" s="4" t="inlineStr">
        <x:is>
          <x:t xml:space="preserve">DEV-005</x:t>
        </x:is>
      </x:c>
      <x:c r="E28" s="4" t="inlineStr">
        <x:is>
          <x:t xml:space="preserve">Emma Roy</x:t>
        </x:is>
      </x:c>
      <x:c r="F28" s="4" t="inlineStr">
        <x:is>
          <x:t xml:space="preserve">MGR-03</x:t>
        </x:is>
      </x:c>
      <x:c r="G28" s="4" t="inlineStr">
        <x:is>
          <x:t xml:space="preserve">Mobile Growth</x:t>
        </x:is>
      </x:c>
      <x:c r="H28" s="4" t="inlineStr">
        <x:is>
          <x:t xml:space="preserve">prod</x:t>
        </x:is>
      </x:c>
      <x:c r="I28" s="18" t="n">
        <x:v>46138.6875</x:v>
      </x:c>
      <x:c r="J28" s="18" t="n">
        <x:v>46140.9875</x:v>
      </x:c>
      <x:c r="K28" s="4" t="inlineStr">
        <x:is>
          <x:t xml:space="preserve">success</x:t>
        </x:is>
      </x:c>
      <x:c r="L28" s="4" t="inlineStr">
        <x:is>
          <x:t xml:space="preserve">2026-04</x:t>
        </x:is>
      </x:c>
      <x:c r="M28" s="19" t="n">
        <x:v>4.4</x:v>
      </x:c>
      <x:c r="N28" s="4" t="inlineStr">
        <x:is>
          <x:t xml:space="preserve">standard</x:t>
        </x:is>
      </x:c>
    </x:row>
    <x:row r="29" ht="22" customHeight="1">
      <x:c r="A29" s="4" t="inlineStr">
        <x:is>
          <x:t xml:space="preserve">DEP-028</x:t>
        </x:is>
      </x:c>
      <x:c r="B29" s="4" t="inlineStr">
        <x:is>
          <x:t xml:space="preserve">PR-028</x:t>
        </x:is>
      </x:c>
      <x:c r="C29" s="4" t="inlineStr">
        <x:is>
          <x:t xml:space="preserve">JIRA-028</x:t>
        </x:is>
      </x:c>
      <x:c r="D29" s="4" t="inlineStr">
        <x:is>
          <x:t xml:space="preserve">DEV-005</x:t>
        </x:is>
      </x:c>
      <x:c r="E29" s="4" t="inlineStr">
        <x:is>
          <x:t xml:space="preserve">Emma Roy</x:t>
        </x:is>
      </x:c>
      <x:c r="F29" s="4" t="inlineStr">
        <x:is>
          <x:t xml:space="preserve">MGR-03</x:t>
        </x:is>
      </x:c>
      <x:c r="G29" s="4" t="inlineStr">
        <x:is>
          <x:t xml:space="preserve">Mobile Growth</x:t>
        </x:is>
      </x:c>
      <x:c r="H29" s="4" t="inlineStr">
        <x:is>
          <x:t xml:space="preserve">prod</x:t>
        </x:is>
      </x:c>
      <x:c r="I29" s="18" t="n">
        <x:v>46137.4375</x:v>
      </x:c>
      <x:c r="J29" s="18" t="n">
        <x:v>46141.0375</x:v>
      </x:c>
      <x:c r="K29" s="4" t="inlineStr">
        <x:is>
          <x:t xml:space="preserve">success</x:t>
        </x:is>
      </x:c>
      <x:c r="L29" s="4" t="inlineStr">
        <x:is>
          <x:t xml:space="preserve">2026-04</x:t>
        </x:is>
      </x:c>
      <x:c r="M29" s="19" t="n">
        <x:v>5</x:v>
      </x:c>
      <x:c r="N29" s="4" t="inlineStr">
        <x:is>
          <x:t xml:space="preserve">standard</x:t>
        </x:is>
      </x:c>
    </x:row>
    <x:row r="30" ht="22" customHeight="1">
      <x:c r="A30" s="4" t="inlineStr">
        <x:is>
          <x:t xml:space="preserve">DEP-029</x:t>
        </x:is>
      </x:c>
      <x:c r="B30" s="4" t="inlineStr">
        <x:is>
          <x:t xml:space="preserve">PR-029</x:t>
        </x:is>
      </x:c>
      <x:c r="C30" s="4" t="inlineStr">
        <x:is>
          <x:t xml:space="preserve">JIRA-029</x:t>
        </x:is>
      </x:c>
      <x:c r="D30" s="4" t="inlineStr">
        <x:is>
          <x:t xml:space="preserve">DEV-007</x:t>
        </x:is>
      </x:c>
      <x:c r="E30" s="4" t="inlineStr">
        <x:is>
          <x:t xml:space="preserve">Owen Brooks</x:t>
        </x:is>
      </x:c>
      <x:c r="F30" s="4" t="inlineStr">
        <x:is>
          <x:t xml:space="preserve">MGR-03</x:t>
        </x:is>
      </x:c>
      <x:c r="G30" s="4" t="inlineStr">
        <x:is>
          <x:t xml:space="preserve">Mobile Growth</x:t>
        </x:is>
      </x:c>
      <x:c r="H30" s="4" t="inlineStr">
        <x:is>
          <x:t xml:space="preserve">prod</x:t>
        </x:is>
      </x:c>
      <x:c r="I30" s="18" t="n">
        <x:v>46088.37083333333</x:v>
      </x:c>
      <x:c r="J30" s="18" t="n">
        <x:v>46090.47083333333</x:v>
      </x:c>
      <x:c r="K30" s="4" t="inlineStr">
        <x:is>
          <x:t xml:space="preserve">success</x:t>
        </x:is>
      </x:c>
      <x:c r="L30" s="4" t="inlineStr">
        <x:is>
          <x:t xml:space="preserve">2026-03</x:t>
        </x:is>
      </x:c>
      <x:c r="M30" s="19" t="n">
        <x:v>4.1</x:v>
      </x:c>
      <x:c r="N30" s="4" t="inlineStr">
        <x:is>
          <x:t xml:space="preserve">hotfix</x:t>
        </x:is>
      </x:c>
    </x:row>
    <x:row r="31" ht="22" customHeight="1">
      <x:c r="A31" s="4" t="inlineStr">
        <x:is>
          <x:t xml:space="preserve">DEP-030</x:t>
        </x:is>
      </x:c>
      <x:c r="B31" s="4" t="inlineStr">
        <x:is>
          <x:t xml:space="preserve">PR-030</x:t>
        </x:is>
      </x:c>
      <x:c r="C31" s="4" t="inlineStr">
        <x:is>
          <x:t xml:space="preserve">JIRA-030</x:t>
        </x:is>
      </x:c>
      <x:c r="D31" s="4" t="inlineStr">
        <x:is>
          <x:t xml:space="preserve">DEV-007</x:t>
        </x:is>
      </x:c>
      <x:c r="E31" s="4" t="inlineStr">
        <x:is>
          <x:t xml:space="preserve">Owen Brooks</x:t>
        </x:is>
      </x:c>
      <x:c r="F31" s="4" t="inlineStr">
        <x:is>
          <x:t xml:space="preserve">MGR-03</x:t>
        </x:is>
      </x:c>
      <x:c r="G31" s="4" t="inlineStr">
        <x:is>
          <x:t xml:space="preserve">Mobile Growth</x:t>
        </x:is>
      </x:c>
      <x:c r="H31" s="4" t="inlineStr">
        <x:is>
          <x:t xml:space="preserve">prod</x:t>
        </x:is>
      </x:c>
      <x:c r="I31" s="18" t="n">
        <x:v>46092.23333333333</x:v>
      </x:c>
      <x:c r="J31" s="18" t="n">
        <x:v>46094.73333333333</x:v>
      </x:c>
      <x:c r="K31" s="4" t="inlineStr">
        <x:is>
          <x:t xml:space="preserve">success</x:t>
        </x:is>
      </x:c>
      <x:c r="L31" s="4" t="inlineStr">
        <x:is>
          <x:t xml:space="preserve">2026-03</x:t>
        </x:is>
      </x:c>
      <x:c r="M31" s="19" t="n">
        <x:v>4.5</x:v>
      </x:c>
      <x:c r="N31" s="4" t="inlineStr">
        <x:is>
          <x:t xml:space="preserve">hotfix</x:t>
        </x:is>
      </x:c>
    </x:row>
    <x:row r="32" ht="22" customHeight="1">
      <x:c r="A32" s="4" t="inlineStr">
        <x:is>
          <x:t xml:space="preserve">DEP-031</x:t>
        </x:is>
      </x:c>
      <x:c r="B32" s="4" t="inlineStr">
        <x:is>
          <x:t xml:space="preserve">PR-031</x:t>
        </x:is>
      </x:c>
      <x:c r="C32" s="4" t="inlineStr">
        <x:is>
          <x:t xml:space="preserve">JIRA-031</x:t>
        </x:is>
      </x:c>
      <x:c r="D32" s="4" t="inlineStr">
        <x:is>
          <x:t xml:space="preserve">DEV-007</x:t>
        </x:is>
      </x:c>
      <x:c r="E32" s="4" t="inlineStr">
        <x:is>
          <x:t xml:space="preserve">Owen Brooks</x:t>
        </x:is>
      </x:c>
      <x:c r="F32" s="4" t="inlineStr">
        <x:is>
          <x:t xml:space="preserve">MGR-03</x:t>
        </x:is>
      </x:c>
      <x:c r="G32" s="4" t="inlineStr">
        <x:is>
          <x:t xml:space="preserve">Mobile Growth</x:t>
        </x:is>
      </x:c>
      <x:c r="H32" s="4" t="inlineStr">
        <x:is>
          <x:t xml:space="preserve">prod</x:t>
        </x:is>
      </x:c>
      <x:c r="I32" s="18" t="n">
        <x:v>46132.09583333333</x:v>
      </x:c>
      <x:c r="J32" s="18" t="n">
        <x:v>46133.59583333333</x:v>
      </x:c>
      <x:c r="K32" s="4" t="inlineStr">
        <x:is>
          <x:t xml:space="preserve">success</x:t>
        </x:is>
      </x:c>
      <x:c r="L32" s="4" t="inlineStr">
        <x:is>
          <x:t xml:space="preserve">2026-04</x:t>
        </x:is>
      </x:c>
      <x:c r="M32" s="19" t="n">
        <x:v>3.4</x:v>
      </x:c>
      <x:c r="N32" s="4" t="inlineStr">
        <x:is>
          <x:t xml:space="preserve">standard</x:t>
        </x:is>
      </x:c>
    </x:row>
    <x:row r="33" ht="22" customHeight="1">
      <x:c r="A33" s="4" t="inlineStr">
        <x:is>
          <x:t xml:space="preserve">DEP-032</x:t>
        </x:is>
      </x:c>
      <x:c r="B33" s="4" t="inlineStr">
        <x:is>
          <x:t xml:space="preserve">PR-032</x:t>
        </x:is>
      </x:c>
      <x:c r="C33" s="4" t="inlineStr">
        <x:is>
          <x:t xml:space="preserve">JIRA-032</x:t>
        </x:is>
      </x:c>
      <x:c r="D33" s="4" t="inlineStr">
        <x:is>
          <x:t xml:space="preserve">DEV-007</x:t>
        </x:is>
      </x:c>
      <x:c r="E33" s="4" t="inlineStr">
        <x:is>
          <x:t xml:space="preserve">Owen Brooks</x:t>
        </x:is>
      </x:c>
      <x:c r="F33" s="4" t="inlineStr">
        <x:is>
          <x:t xml:space="preserve">MGR-03</x:t>
        </x:is>
      </x:c>
      <x:c r="G33" s="4" t="inlineStr">
        <x:is>
          <x:t xml:space="preserve">Mobile Growth</x:t>
        </x:is>
      </x:c>
      <x:c r="H33" s="4" t="inlineStr">
        <x:is>
          <x:t xml:space="preserve">prod</x:t>
        </x:is>
      </x:c>
      <x:c r="I33" s="18" t="n">
        <x:v>46136.70833333334</x:v>
      </x:c>
      <x:c r="J33" s="18" t="n">
        <x:v>46138.70833333334</x:v>
      </x:c>
      <x:c r="K33" s="4" t="inlineStr">
        <x:is>
          <x:t xml:space="preserve">success</x:t>
        </x:is>
      </x:c>
      <x:c r="L33" s="4" t="inlineStr">
        <x:is>
          <x:t xml:space="preserve">2026-04</x:t>
        </x:is>
      </x:c>
      <x:c r="M33" s="19" t="n">
        <x:v>3.9</x:v>
      </x:c>
      <x:c r="N33" s="4" t="inlineStr">
        <x:is>
          <x:t xml:space="preserve">standard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66b6776fd3940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12" customWidth="1"/>
    <x:col min="4" max="4" width="16" customWidth="1"/>
    <x:col min="5" max="5" width="10" customWidth="1"/>
    <x:col min="6" max="6" width="18" customWidth="1"/>
    <x:col min="7" max="7" width="18" customWidth="1"/>
    <x:col min="8" max="8" width="10" customWidth="1"/>
    <x:col min="9" max="9" width="14" customWidth="1"/>
    <x:col min="10" max="10" width="10" customWidth="1"/>
    <x:col min="11" max="11" width="12" customWidth="1"/>
    <x:col min="12" max="12" width="18" customWidth="1"/>
  </x:cols>
  <x:sheetData>
    <x:row r="1" ht="28" customHeight="1">
      <x:c r="A1" s="3" t="inlineStr">
        <x:is>
          <x:t xml:space="preserve">bug_id</x:t>
        </x:is>
      </x:c>
      <x:c r="B1" s="3" t="inlineStr">
        <x:is>
          <x:t xml:space="preserve">linked_issue_id</x:t>
        </x:is>
      </x:c>
      <x:c r="C1" s="3" t="inlineStr">
        <x:is>
          <x:t xml:space="preserve">developer_id</x:t>
        </x:is>
      </x:c>
      <x:c r="D1" s="3" t="inlineStr">
        <x:is>
          <x:t xml:space="preserve">developer_name</x:t>
        </x:is>
      </x:c>
      <x:c r="E1" s="3" t="inlineStr">
        <x:is>
          <x:t xml:space="preserve">manager_id</x:t>
        </x:is>
      </x:c>
      <x:c r="F1" s="3" t="inlineStr">
        <x:is>
          <x:t xml:space="preserve">team_name</x:t>
        </x:is>
      </x:c>
      <x:c r="G1" s="3" t="inlineStr">
        <x:is>
          <x:t xml:space="preserve">found_at</x:t>
        </x:is>
      </x:c>
      <x:c r="H1" s="3" t="inlineStr">
        <x:is>
          <x:t xml:space="preserve">severity</x:t>
        </x:is>
      </x:c>
      <x:c r="I1" s="3" t="inlineStr">
        <x:is>
          <x:t xml:space="preserve">escaped_to_prod</x:t>
        </x:is>
      </x:c>
      <x:c r="J1" s="3" t="inlineStr">
        <x:is>
          <x:t xml:space="preserve">status</x:t>
        </x:is>
      </x:c>
      <x:c r="K1" s="3" t="inlineStr">
        <x:is>
          <x:t xml:space="preserve">month_found</x:t>
        </x:is>
      </x:c>
      <x:c r="L1" s="3" t="inlineStr">
        <x:is>
          <x:t xml:space="preserve">root_cause_bucket</x:t>
        </x:is>
      </x:c>
    </x:row>
    <x:row r="2" ht="22" customHeight="1">
      <x:c r="A2" s="4" t="inlineStr">
        <x:is>
          <x:t xml:space="preserve">BUG-001</x:t>
        </x:is>
      </x:c>
      <x:c r="B2" s="4" t="inlineStr">
        <x:is>
          <x:t xml:space="preserve">JIRA-007</x:t>
        </x:is>
      </x:c>
      <x:c r="C2" s="4" t="inlineStr">
        <x:is>
          <x:t xml:space="preserve">DEV-002</x:t>
        </x:is>
      </x:c>
      <x:c r="D2" s="4" t="inlineStr">
        <x:is>
          <x:t xml:space="preserve">Noah Patel</x:t>
        </x:is>
      </x:c>
      <x:c r="E2" s="4" t="inlineStr">
        <x:is>
          <x:t xml:space="preserve">MGR-01</x:t>
        </x:is>
      </x:c>
      <x:c r="F2" s="4" t="inlineStr">
        <x:is>
          <x:t xml:space="preserve">Payments API</x:t>
        </x:is>
      </x:c>
      <x:c r="G2" s="18" t="n">
        <x:v>46133.3125</x:v>
      </x:c>
      <x:c r="H2" s="4" t="inlineStr">
        <x:is>
          <x:t xml:space="preserve">medium</x:t>
        </x:is>
      </x:c>
      <x:c r="I2" s="4" t="inlineStr">
        <x:is>
          <x:t xml:space="preserve">Yes</x:t>
        </x:is>
      </x:c>
      <x:c r="J2" s="4" t="inlineStr">
        <x:is>
          <x:t xml:space="preserve">Open</x:t>
        </x:is>
      </x:c>
      <x:c r="K2" s="4" t="inlineStr">
        <x:is>
          <x:t xml:space="preserve">2026-04</x:t>
        </x:is>
      </x:c>
      <x:c r="L2" s="4" t="inlineStr">
        <x:is>
          <x:t xml:space="preserve">test gap</x:t>
        </x:is>
      </x:c>
    </x:row>
    <x:row r="3" ht="22" customHeight="1">
      <x:c r="A3" s="4" t="inlineStr">
        <x:is>
          <x:t xml:space="preserve">BUG-002</x:t>
        </x:is>
      </x:c>
      <x:c r="B3" s="4" t="inlineStr">
        <x:is>
          <x:t xml:space="preserve">JIRA-012</x:t>
        </x:is>
      </x:c>
      <x:c r="C3" s="4" t="inlineStr">
        <x:is>
          <x:t xml:space="preserve">DEV-006</x:t>
        </x:is>
      </x:c>
      <x:c r="D3" s="4" t="inlineStr">
        <x:is>
          <x:t xml:space="preserve">Ishan Mehta</x:t>
        </x:is>
      </x:c>
      <x:c r="E3" s="4" t="inlineStr">
        <x:is>
          <x:t xml:space="preserve">MGR-01</x:t>
        </x:is>
      </x:c>
      <x:c r="F3" s="4" t="inlineStr">
        <x:is>
          <x:t xml:space="preserve">Payments API</x:t>
        </x:is>
      </x:c>
      <x:c r="G3" s="18" t="n">
        <x:v>46133.175</x:v>
      </x:c>
      <x:c r="H3" s="4" t="inlineStr">
        <x:is>
          <x:t xml:space="preserve">low</x:t>
        </x:is>
      </x:c>
      <x:c r="I3" s="4" t="inlineStr">
        <x:is>
          <x:t xml:space="preserve">Yes</x:t>
        </x:is>
      </x:c>
      <x:c r="J3" s="4" t="inlineStr">
        <x:is>
          <x:t xml:space="preserve">Open</x:t>
        </x:is>
      </x:c>
      <x:c r="K3" s="4" t="inlineStr">
        <x:is>
          <x:t xml:space="preserve">2026-04</x:t>
        </x:is>
      </x:c>
      <x:c r="L3" s="4" t="inlineStr">
        <x:is>
          <x:t xml:space="preserve">release config</x:t>
        </x:is>
      </x:c>
    </x:row>
    <x:row r="4" ht="22" customHeight="1">
      <x:c r="A4" s="4" t="inlineStr">
        <x:is>
          <x:t xml:space="preserve">BUG-003</x:t>
        </x:is>
      </x:c>
      <x:c r="B4" s="4" t="inlineStr">
        <x:is>
          <x:t xml:space="preserve">JIRA-024</x:t>
        </x:is>
      </x:c>
      <x:c r="C4" s="4" t="inlineStr">
        <x:is>
          <x:t xml:space="preserve">DEV-008</x:t>
        </x:is>
      </x:c>
      <x:c r="D4" s="4" t="inlineStr">
        <x:is>
          <x:t xml:space="preserve">Zara Khan</x:t>
        </x:is>
      </x:c>
      <x:c r="E4" s="4" t="inlineStr">
        <x:is>
          <x:t xml:space="preserve">MGR-02</x:t>
        </x:is>
      </x:c>
      <x:c r="F4" s="4" t="inlineStr">
        <x:is>
          <x:t xml:space="preserve">Checkout Web</x:t>
        </x:is>
      </x:c>
      <x:c r="G4" s="18" t="n">
        <x:v>46130.5375</x:v>
      </x:c>
      <x:c r="H4" s="4" t="inlineStr">
        <x:is>
          <x:t xml:space="preserve">high</x:t>
        </x:is>
      </x:c>
      <x:c r="I4" s="4" t="inlineStr">
        <x:is>
          <x:t xml:space="preserve">Yes</x:t>
        </x:is>
      </x:c>
      <x:c r="J4" s="4" t="inlineStr">
        <x:is>
          <x:t xml:space="preserve">Open</x:t>
        </x:is>
      </x:c>
      <x:c r="K4" s="4" t="inlineStr">
        <x:is>
          <x:t xml:space="preserve">2026-04</x:t>
        </x:is>
      </x:c>
      <x:c r="L4" s="4" t="inlineStr">
        <x:is>
          <x:t xml:space="preserve">edge case</x:t>
        </x:is>
      </x:c>
    </x:row>
    <x:row r="5" ht="22" customHeight="1">
      <x:c r="A5" s="4" t="inlineStr">
        <x:is>
          <x:t xml:space="preserve">BUG-004</x:t>
        </x:is>
      </x:c>
      <x:c r="B5" s="4" t="inlineStr">
        <x:is>
          <x:t xml:space="preserve">JIRA-013</x:t>
        </x:is>
      </x:c>
      <x:c r="C5" s="4" t="inlineStr">
        <x:is>
          <x:t xml:space="preserve">DEV-003</x:t>
        </x:is>
      </x:c>
      <x:c r="D5" s="4" t="inlineStr">
        <x:is>
          <x:t xml:space="preserve">Mia Lopez</x:t>
        </x:is>
      </x:c>
      <x:c r="E5" s="4" t="inlineStr">
        <x:is>
          <x:t xml:space="preserve">MGR-02</x:t>
        </x:is>
      </x:c>
      <x:c r="F5" s="4" t="inlineStr">
        <x:is>
          <x:t xml:space="preserve">Checkout Web</x:t>
        </x:is>
      </x:c>
      <x:c r="G5" s="18" t="n">
        <x:v>46096.22083333333</x:v>
      </x:c>
      <x:c r="H5" s="4" t="inlineStr">
        <x:is>
          <x:t xml:space="preserve">medium</x:t>
        </x:is>
      </x:c>
      <x:c r="I5" s="4" t="inlineStr">
        <x:is>
          <x:t xml:space="preserve">Yes</x:t>
        </x:is>
      </x:c>
      <x:c r="J5" s="4" t="inlineStr">
        <x:is>
          <x:t xml:space="preserve">Closed</x:t>
        </x:is>
      </x:c>
      <x:c r="K5" s="4" t="inlineStr">
        <x:is>
          <x:t xml:space="preserve">2026-03</x:t>
        </x:is>
      </x:c>
      <x:c r="L5" s="4" t="inlineStr">
        <x:is>
          <x:t xml:space="preserve">edge case</x:t>
        </x:is>
      </x:c>
    </x:row>
    <x:row r="6" ht="22" customHeight="1">
      <x:c r="A6" s="4" t="inlineStr">
        <x:is>
          <x:t xml:space="preserve">BUG-005</x:t>
        </x:is>
      </x:c>
      <x:c r="B6" s="4" t="inlineStr">
        <x:is>
          <x:t xml:space="preserve">JIRA-025</x:t>
        </x:is>
      </x:c>
      <x:c r="C6" s="4" t="inlineStr">
        <x:is>
          <x:t xml:space="preserve">DEV-005</x:t>
        </x:is>
      </x:c>
      <x:c r="D6" s="4" t="inlineStr">
        <x:is>
          <x:t xml:space="preserve">Emma Roy</x:t>
        </x:is>
      </x:c>
      <x:c r="E6" s="4" t="inlineStr">
        <x:is>
          <x:t xml:space="preserve">MGR-03</x:t>
        </x:is>
      </x:c>
      <x:c r="F6" s="4" t="inlineStr">
        <x:is>
          <x:t xml:space="preserve">Mobile Growth</x:t>
        </x:is>
      </x:c>
      <x:c r="G6" s="18" t="n">
        <x:v>46110.50416666667</x:v>
      </x:c>
      <x:c r="H6" s="4" t="inlineStr">
        <x:is>
          <x:t xml:space="preserve">medium</x:t>
        </x:is>
      </x:c>
      <x:c r="I6" s="4" t="inlineStr">
        <x:is>
          <x:t xml:space="preserve">Yes</x:t>
        </x:is>
      </x:c>
      <x:c r="J6" s="4" t="inlineStr">
        <x:is>
          <x:t xml:space="preserve">Closed</x:t>
        </x:is>
      </x:c>
      <x:c r="K6" s="4" t="inlineStr">
        <x:is>
          <x:t xml:space="preserve">2026-03</x:t>
        </x:is>
      </x:c>
      <x:c r="L6" s="4" t="inlineStr">
        <x:is>
          <x:t xml:space="preserve">test gap</x:t>
        </x:is>
      </x:c>
    </x:row>
    <x:row r="7" ht="22" customHeight="1">
      <x:c r="A7" s="4" t="inlineStr">
        <x:is>
          <x:t xml:space="preserve">BUG-006</x:t>
        </x:is>
      </x:c>
      <x:c r="B7" s="4" t="inlineStr">
        <x:is>
          <x:t xml:space="preserve">JIRA-029</x:t>
        </x:is>
      </x:c>
      <x:c r="C7" s="4" t="inlineStr">
        <x:is>
          <x:t xml:space="preserve">DEV-007</x:t>
        </x:is>
      </x:c>
      <x:c r="D7" s="4" t="inlineStr">
        <x:is>
          <x:t xml:space="preserve">Owen Brooks</x:t>
        </x:is>
      </x:c>
      <x:c r="E7" s="4" t="inlineStr">
        <x:is>
          <x:t xml:space="preserve">MGR-03</x:t>
        </x:is>
      </x:c>
      <x:c r="F7" s="4" t="inlineStr">
        <x:is>
          <x:t xml:space="preserve">Mobile Growth</x:t>
        </x:is>
      </x:c>
      <x:c r="G7" s="18" t="n">
        <x:v>46094.47083333333</x:v>
      </x:c>
      <x:c r="H7" s="4" t="inlineStr">
        <x:is>
          <x:t xml:space="preserve">high</x:t>
        </x:is>
      </x:c>
      <x:c r="I7" s="4" t="inlineStr">
        <x:is>
          <x:t xml:space="preserve">Yes</x:t>
        </x:is>
      </x:c>
      <x:c r="J7" s="4" t="inlineStr">
        <x:is>
          <x:t xml:space="preserve">Closed</x:t>
        </x:is>
      </x:c>
      <x:c r="K7" s="4" t="inlineStr">
        <x:is>
          <x:t xml:space="preserve">2026-03</x:t>
        </x:is>
      </x:c>
      <x:c r="L7" s="4" t="inlineStr">
        <x:is>
          <x:t xml:space="preserve">edge case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94fc8a1739e4ec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0" customWidth="1"/>
    <x:col min="3" max="3" width="20" customWidth="1"/>
    <x:col min="4" max="4" width="12" customWidth="1"/>
    <x:col min="5" max="5" width="18" customWidth="1"/>
    <x:col min="6" max="6" width="12" customWidth="1"/>
    <x:col min="7" max="7" width="12" customWidth="1"/>
    <x:col min="8" max="8" width="14" customWidth="1"/>
    <x:col min="9" max="9" width="12" customWidth="1"/>
    <x:col min="10" max="10" width="14" customWidth="1"/>
    <x:col min="11" max="11" width="14" customWidth="1"/>
    <x:col min="12" max="12" width="12" customWidth="1"/>
    <x:col min="13" max="13" width="20" customWidth="1"/>
    <x:col min="14" max="14" width="18" customWidth="1"/>
  </x:cols>
  <x:sheetData>
    <x:row r="1">
      <x:c r="A1" s="1" t="inlineStr">
        <x:is>
          <x:t xml:space="preserve">Metric Examples</x:t>
        </x:is>
      </x:c>
    </x:row>
    <x:row r="2">
      <x:c r="A2" s="2" t="inlineStr">
        <x:is>
          <x:t xml:space="preserve">This sheet shows one simple calculation approach. Your app can calculate the metrics differently if your logic is sound and clearly explained.</x:t>
        </x:is>
      </x:c>
    </x:row>
    <x:row r="3" ht="28" customHeight="1">
      <x:c r="A3" s="3" t="inlineStr">
        <x:is>
          <x:t xml:space="preserve">Metric</x:t>
        </x:is>
      </x:c>
      <x:c r="B3" s="3" t="inlineStr">
        <x:is>
          <x:t xml:space="preserve">Simple logic used here</x:t>
        </x:is>
      </x:c>
      <x:c r="C3" s="3" t="inlineStr">
        <x:is>
          <x:t xml:space="preserve">Why it exists</x:t>
        </x:is>
      </x:c>
    </x:row>
    <x:row r="4" ht="28" customHeight="1">
      <x:c r="A4" s="3" t="n"/>
      <x:c r="B4" s="3" t="n"/>
      <x:c r="C4" s="3" t="n"/>
    </x:row>
    <x:row r="5" ht="44" customHeight="1">
      <x:c r="A5" s="4" t="inlineStr">
        <x:is>
          <x:t xml:space="preserve">Lead Time for Changes</x:t>
        </x:is>
      </x:c>
      <x:c r="B5" s="4" t="inlineStr">
        <x:is>
          <x:t xml:space="preserve">Average lead_time_days from successful prod deployments in the month.</x:t>
        </x:is>
      </x:c>
      <x:c r="C5" s="4" t="inlineStr">
        <x:is>
          <x:t xml:space="preserve">Speed from PR open to production release.</x:t>
        </x:is>
      </x:c>
    </x:row>
    <x:row r="6" ht="44" customHeight="1">
      <x:c r="A6" s="4" t="inlineStr">
        <x:is>
          <x:t xml:space="preserve">Cycle Time</x:t>
        </x:is>
      </x:c>
      <x:c r="B6" s="4" t="inlineStr">
        <x:is>
          <x:t xml:space="preserve">Average cycle_time_days from Jira issues completed in the month.</x:t>
        </x:is>
      </x:c>
      <x:c r="C6" s="4" t="inlineStr">
        <x:is>
          <x:t xml:space="preserve">Speed once work starts.</x:t>
        </x:is>
      </x:c>
    </x:row>
    <x:row r="7" ht="44" customHeight="1">
      <x:c r="A7" s="4" t="inlineStr">
        <x:is>
          <x:t xml:space="preserve">PR Throughput</x:t>
        </x:is>
      </x:c>
      <x:c r="B7" s="4" t="inlineStr">
        <x:is>
          <x:t xml:space="preserve">Count merged PRs in the month.</x:t>
        </x:is>
      </x:c>
      <x:c r="C7" s="4" t="inlineStr">
        <x:is>
          <x:t xml:space="preserve">Activity / flow signal.</x:t>
        </x:is>
      </x:c>
    </x:row>
    <x:row r="8" ht="44" customHeight="1">
      <x:c r="A8" s="4" t="inlineStr">
        <x:is>
          <x:t xml:space="preserve">Deployment Frequency</x:t>
        </x:is>
      </x:c>
      <x:c r="B8" s="4" t="inlineStr">
        <x:is>
          <x:t xml:space="preserve">Count successful prod deployments in the month.</x:t>
        </x:is>
      </x:c>
      <x:c r="C8" s="4" t="inlineStr">
        <x:is>
          <x:t xml:space="preserve">Release cadence signal.</x:t>
        </x:is>
      </x:c>
    </x:row>
    <x:row r="9" ht="44" customHeight="1">
      <x:c r="A9" s="4" t="inlineStr">
        <x:is>
          <x:t xml:space="preserve">Bug Rate</x:t>
        </x:is>
      </x:c>
      <x:c r="B9" s="4" t="inlineStr">
        <x:is>
          <x:t xml:space="preserve">Escaped prod bugs found in the month / issues done in the month.</x:t>
        </x:is>
      </x:c>
      <x:c r="C9" s="4" t="inlineStr">
        <x:is>
          <x:t xml:space="preserve">Simple quality signal.</x:t>
        </x:is>
      </x:c>
    </x:row>
    <x:row r="12" ht="28" customHeight="1">
      <x:c r="A12" s="3" t="inlineStr">
        <x:is>
          <x:t xml:space="preserve">developer_id</x:t>
        </x:is>
      </x:c>
      <x:c r="B12" s="3" t="inlineStr">
        <x:is>
          <x:t xml:space="preserve">month</x:t>
        </x:is>
      </x:c>
      <x:c r="C12" s="3" t="inlineStr">
        <x:is>
          <x:t xml:space="preserve">developer_name</x:t>
        </x:is>
      </x:c>
      <x:c r="D12" s="3" t="inlineStr">
        <x:is>
          <x:t xml:space="preserve">manager_id</x:t>
        </x:is>
      </x:c>
      <x:c r="E12" s="3" t="inlineStr">
        <x:is>
          <x:t xml:space="preserve">team_name</x:t>
        </x:is>
      </x:c>
      <x:c r="F12" s="3" t="inlineStr">
        <x:is>
          <x:t xml:space="preserve">issues_done</x:t>
        </x:is>
      </x:c>
      <x:c r="G12" s="3" t="inlineStr">
        <x:is>
          <x:t xml:space="preserve">merged_prs</x:t>
        </x:is>
      </x:c>
      <x:c r="H12" s="3" t="inlineStr">
        <x:is>
          <x:t xml:space="preserve">prod_deployments</x:t>
        </x:is>
      </x:c>
      <x:c r="I12" s="3" t="inlineStr">
        <x:is>
          <x:t xml:space="preserve">escaped_bugs</x:t>
        </x:is>
      </x:c>
      <x:c r="J12" s="3" t="inlineStr">
        <x:is>
          <x:t xml:space="preserve">avg_cycle_time_days</x:t>
        </x:is>
      </x:c>
      <x:c r="K12" s="3" t="inlineStr">
        <x:is>
          <x:t xml:space="preserve">avg_lead_time_days</x:t>
        </x:is>
      </x:c>
      <x:c r="L12" s="3" t="inlineStr">
        <x:is>
          <x:t xml:space="preserve">bug_rate_pct</x:t>
        </x:is>
      </x:c>
      <x:c r="M12" s="3" t="inlineStr">
        <x:is>
          <x:t xml:space="preserve">pattern_hint</x:t>
        </x:is>
      </x:c>
      <x:c r="N12" s="3" t="inlineStr">
        <x:is>
          <x:t xml:space="preserve">dev_month_key</x:t>
        </x:is>
      </x:c>
    </x:row>
    <x:row r="13" ht="22" customHeight="1">
      <x:c r="A13" s="4" t="inlineStr">
        <x:is>
          <x:t xml:space="preserve">DEV-001</x:t>
        </x:is>
      </x:c>
      <x:c r="B13" s="4" t="inlineStr">
        <x:is>
          <x:t xml:space="preserve">2026-03</x:t>
        </x:is>
      </x:c>
      <x:c r="C13" s="4" t="str">
        <x:f>INDEX(Dim_Developers!$B:$B,MATCH($A13,Dim_Developers!$A:$A,0))</x:f>
        <x:v>Ava Chen</x:v>
      </x:c>
      <x:c r="D13" s="4" t="str">
        <x:f>INDEX(Dim_Developers!$C:$C,MATCH($A13,Dim_Developers!$A:$A,0))</x:f>
        <x:v>MGR-01</x:v>
      </x:c>
      <x:c r="E13" s="4" t="str">
        <x:f>INDEX(Dim_Developers!$E:$E,MATCH($A13,Dim_Developers!$A:$A,0))</x:f>
        <x:v>Payments API</x:v>
      </x:c>
      <x:c r="F13" s="4">
        <x:f>COUNTIFS(Fact_Jira_Issues!$B:$B,$A13,Fact_Jira_Issues!$N:$N,$B13,Fact_Jira_Issues!$M:$M,"Done")</x:f>
        <x:v>2</x:v>
      </x:c>
      <x:c r="G13" s="4">
        <x:f>COUNTIFS(Fact_Pull_Requests!$C:$C,$A13,Fact_Pull_Requests!$L:$L,$B13,Fact_Pull_Requests!$K:$K,"merged")</x:f>
        <x:v>2</x:v>
      </x:c>
      <x:c r="H13" s="4">
        <x:f>COUNTIFS(Fact_CI_Deployments!$D:$D,$A13,Fact_CI_Deployments!$L:$L,$B13,Fact_CI_Deployments!$H:$H,"prod",Fact_CI_Deployments!$K:$K,"success")</x:f>
        <x:v>2</x:v>
      </x:c>
      <x:c r="I13" s="4">
        <x:f>COUNTIFS(Fact_Bug_Reports!$C:$C,$A13,Fact_Bug_Reports!$K:$K,$B13,Fact_Bug_Reports!$I:$I,"Yes")</x:f>
        <x:v>0</x:v>
      </x:c>
      <x:c r="J13" s="19">
        <x:f>IF(F13=0,0,SUMIFS(Fact_Jira_Issues!$O:$O,Fact_Jira_Issues!$B:$B,$A13,Fact_Jira_Issues!$N:$N,$B13,Fact_Jira_Issues!$M:$M,"Done")/F13)</x:f>
        <x:v>3.95</x:v>
      </x:c>
      <x:c r="K13" s="19">
        <x:f>IF(H13=0,0,SUMIFS(Fact_CI_Deployments!$M:$M,Fact_CI_Deployments!$D:$D,$A13,Fact_CI_Deployments!$L:$L,$B13,Fact_CI_Deployments!$H:$H,"prod",Fact_CI_Deployments!$K:$K,"success")/H13)</x:f>
        <x:v>2.4</x:v>
      </x:c>
      <x:c r="L13" s="20">
        <x:f>IF(F13=0,0,I13/F13)</x:f>
        <x:v>0</x:v>
      </x:c>
      <x:c r="M13" s="4" t="str">
        <x:f>IF(AND(K13&gt;6,L13&gt;0.15),"Slow + quality risk",IF(AND(K13&gt;6,H13&lt;2),"Slow release loop",IF(AND(L13&gt;0.12,H13&gt;=2),"Quality watch",IF(AND(K13&lt;4.5,L13&lt;0.10),"Healthy flow","Needs review"))))</x:f>
        <x:v>Healthy flow</x:v>
      </x:c>
      <x:c r="N13" s="4" t="str">
        <x:f>A13&amp;"|"&amp;B13</x:f>
        <x:v>DEV-001|2026-03</x:v>
      </x:c>
    </x:row>
    <x:row r="14" ht="22" customHeight="1">
      <x:c r="A14" s="4" t="inlineStr">
        <x:is>
          <x:t xml:space="preserve">DEV-001</x:t>
        </x:is>
      </x:c>
      <x:c r="B14" s="4" t="inlineStr">
        <x:is>
          <x:t xml:space="preserve">2026-04</x:t>
        </x:is>
      </x:c>
      <x:c r="C14" s="4" t="str">
        <x:f>INDEX(Dim_Developers!$B:$B,MATCH($A14,Dim_Developers!$A:$A,0))</x:f>
        <x:v>Ava Chen</x:v>
      </x:c>
      <x:c r="D14" s="4" t="str">
        <x:f>INDEX(Dim_Developers!$C:$C,MATCH($A14,Dim_Developers!$A:$A,0))</x:f>
        <x:v>MGR-01</x:v>
      </x:c>
      <x:c r="E14" s="4" t="str">
        <x:f>INDEX(Dim_Developers!$E:$E,MATCH($A14,Dim_Developers!$A:$A,0))</x:f>
        <x:v>Payments API</x:v>
      </x:c>
      <x:c r="F14" s="4">
        <x:f>COUNTIFS(Fact_Jira_Issues!$B:$B,$A14,Fact_Jira_Issues!$N:$N,$B14,Fact_Jira_Issues!$M:$M,"Done")</x:f>
        <x:v>2</x:v>
      </x:c>
      <x:c r="G14" s="4">
        <x:f>COUNTIFS(Fact_Pull_Requests!$C:$C,$A14,Fact_Pull_Requests!$L:$L,$B14,Fact_Pull_Requests!$K:$K,"merged")</x:f>
        <x:v>2</x:v>
      </x:c>
      <x:c r="H14" s="4">
        <x:f>COUNTIFS(Fact_CI_Deployments!$D:$D,$A14,Fact_CI_Deployments!$L:$L,$B14,Fact_CI_Deployments!$H:$H,"prod",Fact_CI_Deployments!$K:$K,"success")</x:f>
        <x:v>2</x:v>
      </x:c>
      <x:c r="I14" s="4">
        <x:f>COUNTIFS(Fact_Bug_Reports!$C:$C,$A14,Fact_Bug_Reports!$K:$K,$B14,Fact_Bug_Reports!$I:$I,"Yes")</x:f>
        <x:v>0</x:v>
      </x:c>
      <x:c r="J14" s="19">
        <x:f>IF(F14=0,0,SUMIFS(Fact_Jira_Issues!$O:$O,Fact_Jira_Issues!$B:$B,$A14,Fact_Jira_Issues!$N:$N,$B14,Fact_Jira_Issues!$M:$M,"Done")/F14)</x:f>
        <x:v>3.9</x:v>
      </x:c>
      <x:c r="K14" s="19">
        <x:f>IF(H14=0,0,SUMIFS(Fact_CI_Deployments!$M:$M,Fact_CI_Deployments!$D:$D,$A14,Fact_CI_Deployments!$L:$L,$B14,Fact_CI_Deployments!$H:$H,"prod",Fact_CI_Deployments!$K:$K,"success")/H14)</x:f>
        <x:v>3.3499999999999996</x:v>
      </x:c>
      <x:c r="L14" s="20">
        <x:f>IF(F14=0,0,I14/F14)</x:f>
        <x:v>0</x:v>
      </x:c>
      <x:c r="M14" s="4" t="str">
        <x:f>IF(AND(K14&gt;6,L14&gt;0.15),"Slow + quality risk",IF(AND(K14&gt;6,H14&lt;2),"Slow release loop",IF(AND(L14&gt;0.12,H14&gt;=2),"Quality watch",IF(AND(K14&lt;4.5,L14&lt;0.10),"Healthy flow","Needs review"))))</x:f>
        <x:v>Healthy flow</x:v>
      </x:c>
      <x:c r="N14" s="4" t="str">
        <x:f>A14&amp;"|"&amp;B14</x:f>
        <x:v>DEV-001|2026-04</x:v>
      </x:c>
    </x:row>
    <x:row r="15" ht="22" customHeight="1">
      <x:c r="A15" s="4" t="inlineStr">
        <x:is>
          <x:t xml:space="preserve">DEV-002</x:t>
        </x:is>
      </x:c>
      <x:c r="B15" s="4" t="inlineStr">
        <x:is>
          <x:t xml:space="preserve">2026-03</x:t>
        </x:is>
      </x:c>
      <x:c r="C15" s="4" t="str">
        <x:f>INDEX(Dim_Developers!$B:$B,MATCH($A15,Dim_Developers!$A:$A,0))</x:f>
        <x:v>Noah Patel</x:v>
      </x:c>
      <x:c r="D15" s="4" t="str">
        <x:f>INDEX(Dim_Developers!$C:$C,MATCH($A15,Dim_Developers!$A:$A,0))</x:f>
        <x:v>MGR-01</x:v>
      </x:c>
      <x:c r="E15" s="4" t="str">
        <x:f>INDEX(Dim_Developers!$E:$E,MATCH($A15,Dim_Developers!$A:$A,0))</x:f>
        <x:v>Payments API</x:v>
      </x:c>
      <x:c r="F15" s="4">
        <x:f>COUNTIFS(Fact_Jira_Issues!$B:$B,$A15,Fact_Jira_Issues!$N:$N,$B15,Fact_Jira_Issues!$M:$M,"Done")</x:f>
        <x:v>2</x:v>
      </x:c>
      <x:c r="G15" s="4">
        <x:f>COUNTIFS(Fact_Pull_Requests!$C:$C,$A15,Fact_Pull_Requests!$L:$L,$B15,Fact_Pull_Requests!$K:$K,"merged")</x:f>
        <x:v>2</x:v>
      </x:c>
      <x:c r="H15" s="4">
        <x:f>COUNTIFS(Fact_CI_Deployments!$D:$D,$A15,Fact_CI_Deployments!$L:$L,$B15,Fact_CI_Deployments!$H:$H,"prod",Fact_CI_Deployments!$K:$K,"success")</x:f>
        <x:v>2</x:v>
      </x:c>
      <x:c r="I15" s="4">
        <x:f>COUNTIFS(Fact_Bug_Reports!$C:$C,$A15,Fact_Bug_Reports!$K:$K,$B15,Fact_Bug_Reports!$I:$I,"Yes")</x:f>
        <x:v>0</x:v>
      </x:c>
      <x:c r="J15" s="19">
        <x:f>IF(F15=0,0,SUMIFS(Fact_Jira_Issues!$O:$O,Fact_Jira_Issues!$B:$B,$A15,Fact_Jira_Issues!$N:$N,$B15,Fact_Jira_Issues!$M:$M,"Done")/F15)</x:f>
        <x:v>5.9</x:v>
      </x:c>
      <x:c r="K15" s="19">
        <x:f>IF(H15=0,0,SUMIFS(Fact_CI_Deployments!$M:$M,Fact_CI_Deployments!$D:$D,$A15,Fact_CI_Deployments!$L:$L,$B15,Fact_CI_Deployments!$H:$H,"prod",Fact_CI_Deployments!$K:$K,"success")/H15)</x:f>
        <x:v>4.3</x:v>
      </x:c>
      <x:c r="L15" s="20">
        <x:f>IF(F15=0,0,I15/F15)</x:f>
        <x:v>0</x:v>
      </x:c>
      <x:c r="M15" s="4" t="str">
        <x:f>IF(AND(K15&gt;6,L15&gt;0.15),"Slow + quality risk",IF(AND(K15&gt;6,H15&lt;2),"Slow release loop",IF(AND(L15&gt;0.12,H15&gt;=2),"Quality watch",IF(AND(K15&lt;4.5,L15&lt;0.10),"Healthy flow","Needs review"))))</x:f>
        <x:v>Healthy flow</x:v>
      </x:c>
      <x:c r="N15" s="4" t="str">
        <x:f>A15&amp;"|"&amp;B15</x:f>
        <x:v>DEV-002|2026-03</x:v>
      </x:c>
    </x:row>
    <x:row r="16" ht="22" customHeight="1">
      <x:c r="A16" s="4" t="inlineStr">
        <x:is>
          <x:t xml:space="preserve">DEV-002</x:t>
        </x:is>
      </x:c>
      <x:c r="B16" s="4" t="inlineStr">
        <x:is>
          <x:t xml:space="preserve">2026-04</x:t>
        </x:is>
      </x:c>
      <x:c r="C16" s="4" t="str">
        <x:f>INDEX(Dim_Developers!$B:$B,MATCH($A16,Dim_Developers!$A:$A,0))</x:f>
        <x:v>Noah Patel</x:v>
      </x:c>
      <x:c r="D16" s="4" t="str">
        <x:f>INDEX(Dim_Developers!$C:$C,MATCH($A16,Dim_Developers!$A:$A,0))</x:f>
        <x:v>MGR-01</x:v>
      </x:c>
      <x:c r="E16" s="4" t="str">
        <x:f>INDEX(Dim_Developers!$E:$E,MATCH($A16,Dim_Developers!$A:$A,0))</x:f>
        <x:v>Payments API</x:v>
      </x:c>
      <x:c r="F16" s="4">
        <x:f>COUNTIFS(Fact_Jira_Issues!$B:$B,$A16,Fact_Jira_Issues!$N:$N,$B16,Fact_Jira_Issues!$M:$M,"Done")</x:f>
        <x:v>2</x:v>
      </x:c>
      <x:c r="G16" s="4">
        <x:f>COUNTIFS(Fact_Pull_Requests!$C:$C,$A16,Fact_Pull_Requests!$L:$L,$B16,Fact_Pull_Requests!$K:$K,"merged")</x:f>
        <x:v>2</x:v>
      </x:c>
      <x:c r="H16" s="4">
        <x:f>COUNTIFS(Fact_CI_Deployments!$D:$D,$A16,Fact_CI_Deployments!$L:$L,$B16,Fact_CI_Deployments!$H:$H,"prod",Fact_CI_Deployments!$K:$K,"success")</x:f>
        <x:v>2</x:v>
      </x:c>
      <x:c r="I16" s="4">
        <x:f>COUNTIFS(Fact_Bug_Reports!$C:$C,$A16,Fact_Bug_Reports!$K:$K,$B16,Fact_Bug_Reports!$I:$I,"Yes")</x:f>
        <x:v>1</x:v>
      </x:c>
      <x:c r="J16" s="19">
        <x:f>IF(F16=0,0,SUMIFS(Fact_Jira_Issues!$O:$O,Fact_Jira_Issues!$B:$B,$A16,Fact_Jira_Issues!$N:$N,$B16,Fact_Jira_Issues!$M:$M,"Done")/F16)</x:f>
        <x:v>5.4</x:v>
      </x:c>
      <x:c r="K16" s="19">
        <x:f>IF(H16=0,0,SUMIFS(Fact_CI_Deployments!$M:$M,Fact_CI_Deployments!$D:$D,$A16,Fact_CI_Deployments!$L:$L,$B16,Fact_CI_Deployments!$H:$H,"prod",Fact_CI_Deployments!$K:$K,"success")/H16)</x:f>
        <x:v>3.75</x:v>
      </x:c>
      <x:c r="L16" s="20">
        <x:f>IF(F16=0,0,I16/F16)</x:f>
        <x:v>0.5</x:v>
      </x:c>
      <x:c r="M16" s="4" t="str">
        <x:f>IF(AND(K16&gt;6,L16&gt;0.15),"Slow + quality risk",IF(AND(K16&gt;6,H16&lt;2),"Slow release loop",IF(AND(L16&gt;0.12,H16&gt;=2),"Quality watch",IF(AND(K16&lt;4.5,L16&lt;0.10),"Healthy flow","Needs review"))))</x:f>
        <x:v>Quality watch</x:v>
      </x:c>
      <x:c r="N16" s="4" t="str">
        <x:f>A16&amp;"|"&amp;B16</x:f>
        <x:v>DEV-002|2026-04</x:v>
      </x:c>
    </x:row>
    <x:row r="17" ht="22" customHeight="1">
      <x:c r="A17" s="4" t="inlineStr">
        <x:is>
          <x:t xml:space="preserve">DEV-006</x:t>
        </x:is>
      </x:c>
      <x:c r="B17" s="4" t="inlineStr">
        <x:is>
          <x:t xml:space="preserve">2026-03</x:t>
        </x:is>
      </x:c>
      <x:c r="C17" s="4" t="str">
        <x:f>INDEX(Dim_Developers!$B:$B,MATCH($A17,Dim_Developers!$A:$A,0))</x:f>
        <x:v>Ishan Mehta</x:v>
      </x:c>
      <x:c r="D17" s="4" t="str">
        <x:f>INDEX(Dim_Developers!$C:$C,MATCH($A17,Dim_Developers!$A:$A,0))</x:f>
        <x:v>MGR-01</x:v>
      </x:c>
      <x:c r="E17" s="4" t="str">
        <x:f>INDEX(Dim_Developers!$E:$E,MATCH($A17,Dim_Developers!$A:$A,0))</x:f>
        <x:v>Payments API</x:v>
      </x:c>
      <x:c r="F17" s="4">
        <x:f>COUNTIFS(Fact_Jira_Issues!$B:$B,$A17,Fact_Jira_Issues!$N:$N,$B17,Fact_Jira_Issues!$M:$M,"Done")</x:f>
        <x:v>2</x:v>
      </x:c>
      <x:c r="G17" s="4">
        <x:f>COUNTIFS(Fact_Pull_Requests!$C:$C,$A17,Fact_Pull_Requests!$L:$L,$B17,Fact_Pull_Requests!$K:$K,"merged")</x:f>
        <x:v>2</x:v>
      </x:c>
      <x:c r="H17" s="4">
        <x:f>COUNTIFS(Fact_CI_Deployments!$D:$D,$A17,Fact_CI_Deployments!$L:$L,$B17,Fact_CI_Deployments!$H:$H,"prod",Fact_CI_Deployments!$K:$K,"success")</x:f>
        <x:v>2</x:v>
      </x:c>
      <x:c r="I17" s="4">
        <x:f>COUNTIFS(Fact_Bug_Reports!$C:$C,$A17,Fact_Bug_Reports!$K:$K,$B17,Fact_Bug_Reports!$I:$I,"Yes")</x:f>
        <x:v>0</x:v>
      </x:c>
      <x:c r="J17" s="19">
        <x:f>IF(F17=0,0,SUMIFS(Fact_Jira_Issues!$O:$O,Fact_Jira_Issues!$B:$B,$A17,Fact_Jira_Issues!$N:$N,$B17,Fact_Jira_Issues!$M:$M,"Done")/F17)</x:f>
        <x:v>3.75</x:v>
      </x:c>
      <x:c r="K17" s="19">
        <x:f>IF(H17=0,0,SUMIFS(Fact_CI_Deployments!$M:$M,Fact_CI_Deployments!$D:$D,$A17,Fact_CI_Deployments!$L:$L,$B17,Fact_CI_Deployments!$H:$H,"prod",Fact_CI_Deployments!$K:$K,"success")/H17)</x:f>
        <x:v>2.3499999999999996</x:v>
      </x:c>
      <x:c r="L17" s="20">
        <x:f>IF(F17=0,0,I17/F17)</x:f>
        <x:v>0</x:v>
      </x:c>
      <x:c r="M17" s="4" t="str">
        <x:f>IF(AND(K17&gt;6,L17&gt;0.15),"Slow + quality risk",IF(AND(K17&gt;6,H17&lt;2),"Slow release loop",IF(AND(L17&gt;0.12,H17&gt;=2),"Quality watch",IF(AND(K17&lt;4.5,L17&lt;0.10),"Healthy flow","Needs review"))))</x:f>
        <x:v>Healthy flow</x:v>
      </x:c>
      <x:c r="N17" s="4" t="str">
        <x:f>A17&amp;"|"&amp;B17</x:f>
        <x:v>DEV-006|2026-03</x:v>
      </x:c>
    </x:row>
    <x:row r="18" ht="22" customHeight="1">
      <x:c r="A18" s="4" t="inlineStr">
        <x:is>
          <x:t xml:space="preserve">DEV-006</x:t>
        </x:is>
      </x:c>
      <x:c r="B18" s="4" t="inlineStr">
        <x:is>
          <x:t xml:space="preserve">2026-04</x:t>
        </x:is>
      </x:c>
      <x:c r="C18" s="4" t="str">
        <x:f>INDEX(Dim_Developers!$B:$B,MATCH($A18,Dim_Developers!$A:$A,0))</x:f>
        <x:v>Ishan Mehta</x:v>
      </x:c>
      <x:c r="D18" s="4" t="str">
        <x:f>INDEX(Dim_Developers!$C:$C,MATCH($A18,Dim_Developers!$A:$A,0))</x:f>
        <x:v>MGR-01</x:v>
      </x:c>
      <x:c r="E18" s="4" t="str">
        <x:f>INDEX(Dim_Developers!$E:$E,MATCH($A18,Dim_Developers!$A:$A,0))</x:f>
        <x:v>Payments API</x:v>
      </x:c>
      <x:c r="F18" s="4">
        <x:f>COUNTIFS(Fact_Jira_Issues!$B:$B,$A18,Fact_Jira_Issues!$N:$N,$B18,Fact_Jira_Issues!$M:$M,"Done")</x:f>
        <x:v>2</x:v>
      </x:c>
      <x:c r="G18" s="4">
        <x:f>COUNTIFS(Fact_Pull_Requests!$C:$C,$A18,Fact_Pull_Requests!$L:$L,$B18,Fact_Pull_Requests!$K:$K,"merged")</x:f>
        <x:v>2</x:v>
      </x:c>
      <x:c r="H18" s="4">
        <x:f>COUNTIFS(Fact_CI_Deployments!$D:$D,$A18,Fact_CI_Deployments!$L:$L,$B18,Fact_CI_Deployments!$H:$H,"prod",Fact_CI_Deployments!$K:$K,"success")</x:f>
        <x:v>2</x:v>
      </x:c>
      <x:c r="I18" s="4">
        <x:f>COUNTIFS(Fact_Bug_Reports!$C:$C,$A18,Fact_Bug_Reports!$K:$K,$B18,Fact_Bug_Reports!$I:$I,"Yes")</x:f>
        <x:v>1</x:v>
      </x:c>
      <x:c r="J18" s="19">
        <x:f>IF(F18=0,0,SUMIFS(Fact_Jira_Issues!$O:$O,Fact_Jira_Issues!$B:$B,$A18,Fact_Jira_Issues!$N:$N,$B18,Fact_Jira_Issues!$M:$M,"Done")/F18)</x:f>
        <x:v>3.7</x:v>
      </x:c>
      <x:c r="K18" s="19">
        <x:f>IF(H18=0,0,SUMIFS(Fact_CI_Deployments!$M:$M,Fact_CI_Deployments!$D:$D,$A18,Fact_CI_Deployments!$L:$L,$B18,Fact_CI_Deployments!$H:$H,"prod",Fact_CI_Deployments!$K:$K,"success")/H18)</x:f>
        <x:v>2.35</x:v>
      </x:c>
      <x:c r="L18" s="20">
        <x:f>IF(F18=0,0,I18/F18)</x:f>
        <x:v>0.5</x:v>
      </x:c>
      <x:c r="M18" s="4" t="str">
        <x:f>IF(AND(K18&gt;6,L18&gt;0.15),"Slow + quality risk",IF(AND(K18&gt;6,H18&lt;2),"Slow release loop",IF(AND(L18&gt;0.12,H18&gt;=2),"Quality watch",IF(AND(K18&lt;4.5,L18&lt;0.10),"Healthy flow","Needs review"))))</x:f>
        <x:v>Quality watch</x:v>
      </x:c>
      <x:c r="N18" s="4" t="str">
        <x:f>A18&amp;"|"&amp;B18</x:f>
        <x:v>DEV-006|2026-04</x:v>
      </x:c>
    </x:row>
    <x:row r="19" ht="22" customHeight="1">
      <x:c r="A19" s="4" t="inlineStr">
        <x:is>
          <x:t xml:space="preserve">DEV-003</x:t>
        </x:is>
      </x:c>
      <x:c r="B19" s="4" t="inlineStr">
        <x:is>
          <x:t xml:space="preserve">2026-03</x:t>
        </x:is>
      </x:c>
      <x:c r="C19" s="4" t="str">
        <x:f>INDEX(Dim_Developers!$B:$B,MATCH($A19,Dim_Developers!$A:$A,0))</x:f>
        <x:v>Mia Lopez</x:v>
      </x:c>
      <x:c r="D19" s="4" t="str">
        <x:f>INDEX(Dim_Developers!$C:$C,MATCH($A19,Dim_Developers!$A:$A,0))</x:f>
        <x:v>MGR-02</x:v>
      </x:c>
      <x:c r="E19" s="4" t="str">
        <x:f>INDEX(Dim_Developers!$E:$E,MATCH($A19,Dim_Developers!$A:$A,0))</x:f>
        <x:v>Checkout Web</x:v>
      </x:c>
      <x:c r="F19" s="4">
        <x:f>COUNTIFS(Fact_Jira_Issues!$B:$B,$A19,Fact_Jira_Issues!$N:$N,$B19,Fact_Jira_Issues!$M:$M,"Done")</x:f>
        <x:v>2</x:v>
      </x:c>
      <x:c r="G19" s="4">
        <x:f>COUNTIFS(Fact_Pull_Requests!$C:$C,$A19,Fact_Pull_Requests!$L:$L,$B19,Fact_Pull_Requests!$K:$K,"merged")</x:f>
        <x:v>2</x:v>
      </x:c>
      <x:c r="H19" s="4">
        <x:f>COUNTIFS(Fact_CI_Deployments!$D:$D,$A19,Fact_CI_Deployments!$L:$L,$B19,Fact_CI_Deployments!$H:$H,"prod",Fact_CI_Deployments!$K:$K,"success")</x:f>
        <x:v>2</x:v>
      </x:c>
      <x:c r="I19" s="4">
        <x:f>COUNTIFS(Fact_Bug_Reports!$C:$C,$A19,Fact_Bug_Reports!$K:$K,$B19,Fact_Bug_Reports!$I:$I,"Yes")</x:f>
        <x:v>1</x:v>
      </x:c>
      <x:c r="J19" s="19">
        <x:f>IF(F19=0,0,SUMIFS(Fact_Jira_Issues!$O:$O,Fact_Jira_Issues!$B:$B,$A19,Fact_Jira_Issues!$N:$N,$B19,Fact_Jira_Issues!$M:$M,"Done")/F19)</x:f>
        <x:v>4.05</x:v>
      </x:c>
      <x:c r="K19" s="19">
        <x:f>IF(H19=0,0,SUMIFS(Fact_CI_Deployments!$M:$M,Fact_CI_Deployments!$D:$D,$A19,Fact_CI_Deployments!$L:$L,$B19,Fact_CI_Deployments!$H:$H,"prod",Fact_CI_Deployments!$K:$K,"success")/H19)</x:f>
        <x:v>3.85</x:v>
      </x:c>
      <x:c r="L19" s="20">
        <x:f>IF(F19=0,0,I19/F19)</x:f>
        <x:v>0.5</x:v>
      </x:c>
      <x:c r="M19" s="4" t="str">
        <x:f>IF(AND(K19&gt;6,L19&gt;0.15),"Slow + quality risk",IF(AND(K19&gt;6,H19&lt;2),"Slow release loop",IF(AND(L19&gt;0.12,H19&gt;=2),"Quality watch",IF(AND(K19&lt;4.5,L19&lt;0.10),"Healthy flow","Needs review"))))</x:f>
        <x:v>Quality watch</x:v>
      </x:c>
      <x:c r="N19" s="4" t="str">
        <x:f>A19&amp;"|"&amp;B19</x:f>
        <x:v>DEV-003|2026-03</x:v>
      </x:c>
    </x:row>
    <x:row r="20" ht="22" customHeight="1">
      <x:c r="A20" s="4" t="inlineStr">
        <x:is>
          <x:t xml:space="preserve">DEV-003</x:t>
        </x:is>
      </x:c>
      <x:c r="B20" s="4" t="inlineStr">
        <x:is>
          <x:t xml:space="preserve">2026-04</x:t>
        </x:is>
      </x:c>
      <x:c r="C20" s="4" t="str">
        <x:f>INDEX(Dim_Developers!$B:$B,MATCH($A20,Dim_Developers!$A:$A,0))</x:f>
        <x:v>Mia Lopez</x:v>
      </x:c>
      <x:c r="D20" s="4" t="str">
        <x:f>INDEX(Dim_Developers!$C:$C,MATCH($A20,Dim_Developers!$A:$A,0))</x:f>
        <x:v>MGR-02</x:v>
      </x:c>
      <x:c r="E20" s="4" t="str">
        <x:f>INDEX(Dim_Developers!$E:$E,MATCH($A20,Dim_Developers!$A:$A,0))</x:f>
        <x:v>Checkout Web</x:v>
      </x:c>
      <x:c r="F20" s="4">
        <x:f>COUNTIFS(Fact_Jira_Issues!$B:$B,$A20,Fact_Jira_Issues!$N:$N,$B20,Fact_Jira_Issues!$M:$M,"Done")</x:f>
        <x:v>2</x:v>
      </x:c>
      <x:c r="G20" s="4">
        <x:f>COUNTIFS(Fact_Pull_Requests!$C:$C,$A20,Fact_Pull_Requests!$L:$L,$B20,Fact_Pull_Requests!$K:$K,"merged")</x:f>
        <x:v>2</x:v>
      </x:c>
      <x:c r="H20" s="4">
        <x:f>COUNTIFS(Fact_CI_Deployments!$D:$D,$A20,Fact_CI_Deployments!$L:$L,$B20,Fact_CI_Deployments!$H:$H,"prod",Fact_CI_Deployments!$K:$K,"success")</x:f>
        <x:v>2</x:v>
      </x:c>
      <x:c r="I20" s="4">
        <x:f>COUNTIFS(Fact_Bug_Reports!$C:$C,$A20,Fact_Bug_Reports!$K:$K,$B20,Fact_Bug_Reports!$I:$I,"Yes")</x:f>
        <x:v>0</x:v>
      </x:c>
      <x:c r="J20" s="19">
        <x:f>IF(F20=0,0,SUMIFS(Fact_Jira_Issues!$O:$O,Fact_Jira_Issues!$B:$B,$A20,Fact_Jira_Issues!$N:$N,$B20,Fact_Jira_Issues!$M:$M,"Done")/F20)</x:f>
        <x:v>3.05</x:v>
      </x:c>
      <x:c r="K20" s="19">
        <x:f>IF(H20=0,0,SUMIFS(Fact_CI_Deployments!$M:$M,Fact_CI_Deployments!$D:$D,$A20,Fact_CI_Deployments!$L:$L,$B20,Fact_CI_Deployments!$H:$H,"prod",Fact_CI_Deployments!$K:$K,"success")/H20)</x:f>
        <x:v>3.55</x:v>
      </x:c>
      <x:c r="L20" s="20">
        <x:f>IF(F20=0,0,I20/F20)</x:f>
        <x:v>0</x:v>
      </x:c>
      <x:c r="M20" s="4" t="str">
        <x:f>IF(AND(K20&gt;6,L20&gt;0.15),"Slow + quality risk",IF(AND(K20&gt;6,H20&lt;2),"Slow release loop",IF(AND(L20&gt;0.12,H20&gt;=2),"Quality watch",IF(AND(K20&lt;4.5,L20&lt;0.10),"Healthy flow","Needs review"))))</x:f>
        <x:v>Healthy flow</x:v>
      </x:c>
      <x:c r="N20" s="4" t="str">
        <x:f>A20&amp;"|"&amp;B20</x:f>
        <x:v>DEV-003|2026-04</x:v>
      </x:c>
    </x:row>
    <x:row r="21" ht="22" customHeight="1">
      <x:c r="A21" s="4" t="inlineStr">
        <x:is>
          <x:t xml:space="preserve">DEV-004</x:t>
        </x:is>
      </x:c>
      <x:c r="B21" s="4" t="inlineStr">
        <x:is>
          <x:t xml:space="preserve">2026-03</x:t>
        </x:is>
      </x:c>
      <x:c r="C21" s="4" t="str">
        <x:f>INDEX(Dim_Developers!$B:$B,MATCH($A21,Dim_Developers!$A:$A,0))</x:f>
        <x:v>Lucas Reed</x:v>
      </x:c>
      <x:c r="D21" s="4" t="str">
        <x:f>INDEX(Dim_Developers!$C:$C,MATCH($A21,Dim_Developers!$A:$A,0))</x:f>
        <x:v>MGR-02</x:v>
      </x:c>
      <x:c r="E21" s="4" t="str">
        <x:f>INDEX(Dim_Developers!$E:$E,MATCH($A21,Dim_Developers!$A:$A,0))</x:f>
        <x:v>Checkout Web</x:v>
      </x:c>
      <x:c r="F21" s="4">
        <x:f>COUNTIFS(Fact_Jira_Issues!$B:$B,$A21,Fact_Jira_Issues!$N:$N,$B21,Fact_Jira_Issues!$M:$M,"Done")</x:f>
        <x:v>2</x:v>
      </x:c>
      <x:c r="G21" s="4">
        <x:f>COUNTIFS(Fact_Pull_Requests!$C:$C,$A21,Fact_Pull_Requests!$L:$L,$B21,Fact_Pull_Requests!$K:$K,"merged")</x:f>
        <x:v>2</x:v>
      </x:c>
      <x:c r="H21" s="4">
        <x:f>COUNTIFS(Fact_CI_Deployments!$D:$D,$A21,Fact_CI_Deployments!$L:$L,$B21,Fact_CI_Deployments!$H:$H,"prod",Fact_CI_Deployments!$K:$K,"success")</x:f>
        <x:v>2</x:v>
      </x:c>
      <x:c r="I21" s="4">
        <x:f>COUNTIFS(Fact_Bug_Reports!$C:$C,$A21,Fact_Bug_Reports!$K:$K,$B21,Fact_Bug_Reports!$I:$I,"Yes")</x:f>
        <x:v>0</x:v>
      </x:c>
      <x:c r="J21" s="19">
        <x:f>IF(F21=0,0,SUMIFS(Fact_Jira_Issues!$O:$O,Fact_Jira_Issues!$B:$B,$A21,Fact_Jira_Issues!$N:$N,$B21,Fact_Jira_Issues!$M:$M,"Done")/F21)</x:f>
        <x:v>3.85</x:v>
      </x:c>
      <x:c r="K21" s="19">
        <x:f>IF(H21=0,0,SUMIFS(Fact_CI_Deployments!$M:$M,Fact_CI_Deployments!$D:$D,$A21,Fact_CI_Deployments!$L:$L,$B21,Fact_CI_Deployments!$H:$H,"prod",Fact_CI_Deployments!$K:$K,"success")/H21)</x:f>
        <x:v>2.0999999999999996</x:v>
      </x:c>
      <x:c r="L21" s="20">
        <x:f>IF(F21=0,0,I21/F21)</x:f>
        <x:v>0</x:v>
      </x:c>
      <x:c r="M21" s="4" t="str">
        <x:f>IF(AND(K21&gt;6,L21&gt;0.15),"Slow + quality risk",IF(AND(K21&gt;6,H21&lt;2),"Slow release loop",IF(AND(L21&gt;0.12,H21&gt;=2),"Quality watch",IF(AND(K21&lt;4.5,L21&lt;0.10),"Healthy flow","Needs review"))))</x:f>
        <x:v>Healthy flow</x:v>
      </x:c>
      <x:c r="N21" s="4" t="str">
        <x:f>A21&amp;"|"&amp;B21</x:f>
        <x:v>DEV-004|2026-03</x:v>
      </x:c>
    </x:row>
    <x:row r="22" ht="22" customHeight="1">
      <x:c r="A22" s="4" t="inlineStr">
        <x:is>
          <x:t xml:space="preserve">DEV-004</x:t>
        </x:is>
      </x:c>
      <x:c r="B22" s="4" t="inlineStr">
        <x:is>
          <x:t xml:space="preserve">2026-04</x:t>
        </x:is>
      </x:c>
      <x:c r="C22" s="4" t="str">
        <x:f>INDEX(Dim_Developers!$B:$B,MATCH($A22,Dim_Developers!$A:$A,0))</x:f>
        <x:v>Lucas Reed</x:v>
      </x:c>
      <x:c r="D22" s="4" t="str">
        <x:f>INDEX(Dim_Developers!$C:$C,MATCH($A22,Dim_Developers!$A:$A,0))</x:f>
        <x:v>MGR-02</x:v>
      </x:c>
      <x:c r="E22" s="4" t="str">
        <x:f>INDEX(Dim_Developers!$E:$E,MATCH($A22,Dim_Developers!$A:$A,0))</x:f>
        <x:v>Checkout Web</x:v>
      </x:c>
      <x:c r="F22" s="4">
        <x:f>COUNTIFS(Fact_Jira_Issues!$B:$B,$A22,Fact_Jira_Issues!$N:$N,$B22,Fact_Jira_Issues!$M:$M,"Done")</x:f>
        <x:v>2</x:v>
      </x:c>
      <x:c r="G22" s="4">
        <x:f>COUNTIFS(Fact_Pull_Requests!$C:$C,$A22,Fact_Pull_Requests!$L:$L,$B22,Fact_Pull_Requests!$K:$K,"merged")</x:f>
        <x:v>2</x:v>
      </x:c>
      <x:c r="H22" s="4">
        <x:f>COUNTIFS(Fact_CI_Deployments!$D:$D,$A22,Fact_CI_Deployments!$L:$L,$B22,Fact_CI_Deployments!$H:$H,"prod",Fact_CI_Deployments!$K:$K,"success")</x:f>
        <x:v>2</x:v>
      </x:c>
      <x:c r="I22" s="4">
        <x:f>COUNTIFS(Fact_Bug_Reports!$C:$C,$A22,Fact_Bug_Reports!$K:$K,$B22,Fact_Bug_Reports!$I:$I,"Yes")</x:f>
        <x:v>0</x:v>
      </x:c>
      <x:c r="J22" s="19">
        <x:f>IF(F22=0,0,SUMIFS(Fact_Jira_Issues!$O:$O,Fact_Jira_Issues!$B:$B,$A22,Fact_Jira_Issues!$N:$N,$B22,Fact_Jira_Issues!$M:$M,"Done")/F22)</x:f>
        <x:v>3.55</x:v>
      </x:c>
      <x:c r="K22" s="19">
        <x:f>IF(H22=0,0,SUMIFS(Fact_CI_Deployments!$M:$M,Fact_CI_Deployments!$D:$D,$A22,Fact_CI_Deployments!$L:$L,$B22,Fact_CI_Deployments!$H:$H,"prod",Fact_CI_Deployments!$K:$K,"success")/H22)</x:f>
        <x:v>2.9</x:v>
      </x:c>
      <x:c r="L22" s="20">
        <x:f>IF(F22=0,0,I22/F22)</x:f>
        <x:v>0</x:v>
      </x:c>
      <x:c r="M22" s="4" t="str">
        <x:f>IF(AND(K22&gt;6,L22&gt;0.15),"Slow + quality risk",IF(AND(K22&gt;6,H22&lt;2),"Slow release loop",IF(AND(L22&gt;0.12,H22&gt;=2),"Quality watch",IF(AND(K22&lt;4.5,L22&lt;0.10),"Healthy flow","Needs review"))))</x:f>
        <x:v>Healthy flow</x:v>
      </x:c>
      <x:c r="N22" s="4" t="str">
        <x:f>A22&amp;"|"&amp;B22</x:f>
        <x:v>DEV-004|2026-04</x:v>
      </x:c>
    </x:row>
    <x:row r="23" ht="22" customHeight="1">
      <x:c r="A23" s="4" t="inlineStr">
        <x:is>
          <x:t xml:space="preserve">DEV-008</x:t>
        </x:is>
      </x:c>
      <x:c r="B23" s="4" t="inlineStr">
        <x:is>
          <x:t xml:space="preserve">2026-03</x:t>
        </x:is>
      </x:c>
      <x:c r="C23" s="4" t="str">
        <x:f>INDEX(Dim_Developers!$B:$B,MATCH($A23,Dim_Developers!$A:$A,0))</x:f>
        <x:v>Zara Khan</x:v>
      </x:c>
      <x:c r="D23" s="4" t="str">
        <x:f>INDEX(Dim_Developers!$C:$C,MATCH($A23,Dim_Developers!$A:$A,0))</x:f>
        <x:v>MGR-02</x:v>
      </x:c>
      <x:c r="E23" s="4" t="str">
        <x:f>INDEX(Dim_Developers!$E:$E,MATCH($A23,Dim_Developers!$A:$A,0))</x:f>
        <x:v>Checkout Web</x:v>
      </x:c>
      <x:c r="F23" s="4">
        <x:f>COUNTIFS(Fact_Jira_Issues!$B:$B,$A23,Fact_Jira_Issues!$N:$N,$B23,Fact_Jira_Issues!$M:$M,"Done")</x:f>
        <x:v>2</x:v>
      </x:c>
      <x:c r="G23" s="4">
        <x:f>COUNTIFS(Fact_Pull_Requests!$C:$C,$A23,Fact_Pull_Requests!$L:$L,$B23,Fact_Pull_Requests!$K:$K,"merged")</x:f>
        <x:v>2</x:v>
      </x:c>
      <x:c r="H23" s="4">
        <x:f>COUNTIFS(Fact_CI_Deployments!$D:$D,$A23,Fact_CI_Deployments!$L:$L,$B23,Fact_CI_Deployments!$H:$H,"prod",Fact_CI_Deployments!$K:$K,"success")</x:f>
        <x:v>2</x:v>
      </x:c>
      <x:c r="I23" s="4">
        <x:f>COUNTIFS(Fact_Bug_Reports!$C:$C,$A23,Fact_Bug_Reports!$K:$K,$B23,Fact_Bug_Reports!$I:$I,"Yes")</x:f>
        <x:v>0</x:v>
      </x:c>
      <x:c r="J23" s="19">
        <x:f>IF(F23=0,0,SUMIFS(Fact_Jira_Issues!$O:$O,Fact_Jira_Issues!$B:$B,$A23,Fact_Jira_Issues!$N:$N,$B23,Fact_Jira_Issues!$M:$M,"Done")/F23)</x:f>
        <x:v>3.8</x:v>
      </x:c>
      <x:c r="K23" s="19">
        <x:f>IF(H23=0,0,SUMIFS(Fact_CI_Deployments!$M:$M,Fact_CI_Deployments!$D:$D,$A23,Fact_CI_Deployments!$L:$L,$B23,Fact_CI_Deployments!$H:$H,"prod",Fact_CI_Deployments!$K:$K,"success")/H23)</x:f>
        <x:v>3.15</x:v>
      </x:c>
      <x:c r="L23" s="20">
        <x:f>IF(F23=0,0,I23/F23)</x:f>
        <x:v>0</x:v>
      </x:c>
      <x:c r="M23" s="4" t="str">
        <x:f>IF(AND(K23&gt;6,L23&gt;0.15),"Slow + quality risk",IF(AND(K23&gt;6,H23&lt;2),"Slow release loop",IF(AND(L23&gt;0.12,H23&gt;=2),"Quality watch",IF(AND(K23&lt;4.5,L23&lt;0.10),"Healthy flow","Needs review"))))</x:f>
        <x:v>Healthy flow</x:v>
      </x:c>
      <x:c r="N23" s="4" t="str">
        <x:f>A23&amp;"|"&amp;B23</x:f>
        <x:v>DEV-008|2026-03</x:v>
      </x:c>
    </x:row>
    <x:row r="24" ht="22" customHeight="1">
      <x:c r="A24" s="4" t="inlineStr">
        <x:is>
          <x:t xml:space="preserve">DEV-008</x:t>
        </x:is>
      </x:c>
      <x:c r="B24" s="4" t="inlineStr">
        <x:is>
          <x:t xml:space="preserve">2026-04</x:t>
        </x:is>
      </x:c>
      <x:c r="C24" s="4" t="str">
        <x:f>INDEX(Dim_Developers!$B:$B,MATCH($A24,Dim_Developers!$A:$A,0))</x:f>
        <x:v>Zara Khan</x:v>
      </x:c>
      <x:c r="D24" s="4" t="str">
        <x:f>INDEX(Dim_Developers!$C:$C,MATCH($A24,Dim_Developers!$A:$A,0))</x:f>
        <x:v>MGR-02</x:v>
      </x:c>
      <x:c r="E24" s="4" t="str">
        <x:f>INDEX(Dim_Developers!$E:$E,MATCH($A24,Dim_Developers!$A:$A,0))</x:f>
        <x:v>Checkout Web</x:v>
      </x:c>
      <x:c r="F24" s="4">
        <x:f>COUNTIFS(Fact_Jira_Issues!$B:$B,$A24,Fact_Jira_Issues!$N:$N,$B24,Fact_Jira_Issues!$M:$M,"Done")</x:f>
        <x:v>2</x:v>
      </x:c>
      <x:c r="G24" s="4">
        <x:f>COUNTIFS(Fact_Pull_Requests!$C:$C,$A24,Fact_Pull_Requests!$L:$L,$B24,Fact_Pull_Requests!$K:$K,"merged")</x:f>
        <x:v>2</x:v>
      </x:c>
      <x:c r="H24" s="4">
        <x:f>COUNTIFS(Fact_CI_Deployments!$D:$D,$A24,Fact_CI_Deployments!$L:$L,$B24,Fact_CI_Deployments!$H:$H,"prod",Fact_CI_Deployments!$K:$K,"success")</x:f>
        <x:v>2</x:v>
      </x:c>
      <x:c r="I24" s="4">
        <x:f>COUNTIFS(Fact_Bug_Reports!$C:$C,$A24,Fact_Bug_Reports!$K:$K,$B24,Fact_Bug_Reports!$I:$I,"Yes")</x:f>
        <x:v>1</x:v>
      </x:c>
      <x:c r="J24" s="19">
        <x:f>IF(F24=0,0,SUMIFS(Fact_Jira_Issues!$O:$O,Fact_Jira_Issues!$B:$B,$A24,Fact_Jira_Issues!$N:$N,$B24,Fact_Jira_Issues!$M:$M,"Done")/F24)</x:f>
        <x:v>3.85</x:v>
      </x:c>
      <x:c r="K24" s="19">
        <x:f>IF(H24=0,0,SUMIFS(Fact_CI_Deployments!$M:$M,Fact_CI_Deployments!$D:$D,$A24,Fact_CI_Deployments!$L:$L,$B24,Fact_CI_Deployments!$H:$H,"prod",Fact_CI_Deployments!$K:$K,"success")/H24)</x:f>
        <x:v>3.4</x:v>
      </x:c>
      <x:c r="L24" s="20">
        <x:f>IF(F24=0,0,I24/F24)</x:f>
        <x:v>0.5</x:v>
      </x:c>
      <x:c r="M24" s="4" t="str">
        <x:f>IF(AND(K24&gt;6,L24&gt;0.15),"Slow + quality risk",IF(AND(K24&gt;6,H24&lt;2),"Slow release loop",IF(AND(L24&gt;0.12,H24&gt;=2),"Quality watch",IF(AND(K24&lt;4.5,L24&lt;0.10),"Healthy flow","Needs review"))))</x:f>
        <x:v>Quality watch</x:v>
      </x:c>
      <x:c r="N24" s="4" t="str">
        <x:f>A24&amp;"|"&amp;B24</x:f>
        <x:v>DEV-008|2026-04</x:v>
      </x:c>
    </x:row>
    <x:row r="25" ht="22" customHeight="1">
      <x:c r="A25" s="4" t="inlineStr">
        <x:is>
          <x:t xml:space="preserve">DEV-005</x:t>
        </x:is>
      </x:c>
      <x:c r="B25" s="4" t="inlineStr">
        <x:is>
          <x:t xml:space="preserve">2026-03</x:t>
        </x:is>
      </x:c>
      <x:c r="C25" s="4" t="str">
        <x:f>INDEX(Dim_Developers!$B:$B,MATCH($A25,Dim_Developers!$A:$A,0))</x:f>
        <x:v>Emma Roy</x:v>
      </x:c>
      <x:c r="D25" s="4" t="str">
        <x:f>INDEX(Dim_Developers!$C:$C,MATCH($A25,Dim_Developers!$A:$A,0))</x:f>
        <x:v>MGR-03</x:v>
      </x:c>
      <x:c r="E25" s="4" t="str">
        <x:f>INDEX(Dim_Developers!$E:$E,MATCH($A25,Dim_Developers!$A:$A,0))</x:f>
        <x:v>Mobile Growth</x:v>
      </x:c>
      <x:c r="F25" s="4">
        <x:f>COUNTIFS(Fact_Jira_Issues!$B:$B,$A25,Fact_Jira_Issues!$N:$N,$B25,Fact_Jira_Issues!$M:$M,"Done")</x:f>
        <x:v>2</x:v>
      </x:c>
      <x:c r="G25" s="4">
        <x:f>COUNTIFS(Fact_Pull_Requests!$C:$C,$A25,Fact_Pull_Requests!$L:$L,$B25,Fact_Pull_Requests!$K:$K,"merged")</x:f>
        <x:v>2</x:v>
      </x:c>
      <x:c r="H25" s="4">
        <x:f>COUNTIFS(Fact_CI_Deployments!$D:$D,$A25,Fact_CI_Deployments!$L:$L,$B25,Fact_CI_Deployments!$H:$H,"prod",Fact_CI_Deployments!$K:$K,"success")</x:f>
        <x:v>2</x:v>
      </x:c>
      <x:c r="I25" s="4">
        <x:f>COUNTIFS(Fact_Bug_Reports!$C:$C,$A25,Fact_Bug_Reports!$K:$K,$B25,Fact_Bug_Reports!$I:$I,"Yes")</x:f>
        <x:v>1</x:v>
      </x:c>
      <x:c r="J25" s="19">
        <x:f>IF(F25=0,0,SUMIFS(Fact_Jira_Issues!$O:$O,Fact_Jira_Issues!$B:$B,$A25,Fact_Jira_Issues!$N:$N,$B25,Fact_Jira_Issues!$M:$M,"Done")/F25)</x:f>
        <x:v>5.949999999999999</x:v>
      </x:c>
      <x:c r="K25" s="19">
        <x:f>IF(H25=0,0,SUMIFS(Fact_CI_Deployments!$M:$M,Fact_CI_Deployments!$D:$D,$A25,Fact_CI_Deployments!$L:$L,$B25,Fact_CI_Deployments!$H:$H,"prod",Fact_CI_Deployments!$K:$K,"success")/H25)</x:f>
        <x:v>4.95</x:v>
      </x:c>
      <x:c r="L25" s="20">
        <x:f>IF(F25=0,0,I25/F25)</x:f>
        <x:v>0.5</x:v>
      </x:c>
      <x:c r="M25" s="4" t="str">
        <x:f>IF(AND(K25&gt;6,L25&gt;0.15),"Slow + quality risk",IF(AND(K25&gt;6,H25&lt;2),"Slow release loop",IF(AND(L25&gt;0.12,H25&gt;=2),"Quality watch",IF(AND(K25&lt;4.5,L25&lt;0.10),"Healthy flow","Needs review"))))</x:f>
        <x:v>Quality watch</x:v>
      </x:c>
      <x:c r="N25" s="4" t="str">
        <x:f>A25&amp;"|"&amp;B25</x:f>
        <x:v>DEV-005|2026-03</x:v>
      </x:c>
    </x:row>
    <x:row r="26" ht="22" customHeight="1">
      <x:c r="A26" s="4" t="inlineStr">
        <x:is>
          <x:t xml:space="preserve">DEV-005</x:t>
        </x:is>
      </x:c>
      <x:c r="B26" s="4" t="inlineStr">
        <x:is>
          <x:t xml:space="preserve">2026-04</x:t>
        </x:is>
      </x:c>
      <x:c r="C26" s="4" t="str">
        <x:f>INDEX(Dim_Developers!$B:$B,MATCH($A26,Dim_Developers!$A:$A,0))</x:f>
        <x:v>Emma Roy</x:v>
      </x:c>
      <x:c r="D26" s="4" t="str">
        <x:f>INDEX(Dim_Developers!$C:$C,MATCH($A26,Dim_Developers!$A:$A,0))</x:f>
        <x:v>MGR-03</x:v>
      </x:c>
      <x:c r="E26" s="4" t="str">
        <x:f>INDEX(Dim_Developers!$E:$E,MATCH($A26,Dim_Developers!$A:$A,0))</x:f>
        <x:v>Mobile Growth</x:v>
      </x:c>
      <x:c r="F26" s="4">
        <x:f>COUNTIFS(Fact_Jira_Issues!$B:$B,$A26,Fact_Jira_Issues!$N:$N,$B26,Fact_Jira_Issues!$M:$M,"Done")</x:f>
        <x:v>2</x:v>
      </x:c>
      <x:c r="G26" s="4">
        <x:f>COUNTIFS(Fact_Pull_Requests!$C:$C,$A26,Fact_Pull_Requests!$L:$L,$B26,Fact_Pull_Requests!$K:$K,"merged")</x:f>
        <x:v>2</x:v>
      </x:c>
      <x:c r="H26" s="4">
        <x:f>COUNTIFS(Fact_CI_Deployments!$D:$D,$A26,Fact_CI_Deployments!$L:$L,$B26,Fact_CI_Deployments!$H:$H,"prod",Fact_CI_Deployments!$K:$K,"success")</x:f>
        <x:v>2</x:v>
      </x:c>
      <x:c r="I26" s="4">
        <x:f>COUNTIFS(Fact_Bug_Reports!$C:$C,$A26,Fact_Bug_Reports!$K:$K,$B26,Fact_Bug_Reports!$I:$I,"Yes")</x:f>
        <x:v>0</x:v>
      </x:c>
      <x:c r="J26" s="19">
        <x:f>IF(F26=0,0,SUMIFS(Fact_Jira_Issues!$O:$O,Fact_Jira_Issues!$B:$B,$A26,Fact_Jira_Issues!$N:$N,$B26,Fact_Jira_Issues!$M:$M,"Done")/F26)</x:f>
        <x:v>6.5</x:v>
      </x:c>
      <x:c r="K26" s="19">
        <x:f>IF(H26=0,0,SUMIFS(Fact_CI_Deployments!$M:$M,Fact_CI_Deployments!$D:$D,$A26,Fact_CI_Deployments!$L:$L,$B26,Fact_CI_Deployments!$H:$H,"prod",Fact_CI_Deployments!$K:$K,"success")/H26)</x:f>
        <x:v>4.7</x:v>
      </x:c>
      <x:c r="L26" s="20">
        <x:f>IF(F26=0,0,I26/F26)</x:f>
        <x:v>0</x:v>
      </x:c>
      <x:c r="M26" s="4" t="str">
        <x:f>IF(AND(K26&gt;6,L26&gt;0.15),"Slow + quality risk",IF(AND(K26&gt;6,H26&lt;2),"Slow release loop",IF(AND(L26&gt;0.12,H26&gt;=2),"Quality watch",IF(AND(K26&lt;4.5,L26&lt;0.10),"Healthy flow","Needs review"))))</x:f>
        <x:v>Needs review</x:v>
      </x:c>
      <x:c r="N26" s="4" t="str">
        <x:f>A26&amp;"|"&amp;B26</x:f>
        <x:v>DEV-005|2026-04</x:v>
      </x:c>
    </x:row>
    <x:row r="27" ht="22" customHeight="1">
      <x:c r="A27" s="4" t="inlineStr">
        <x:is>
          <x:t xml:space="preserve">DEV-007</x:t>
        </x:is>
      </x:c>
      <x:c r="B27" s="4" t="inlineStr">
        <x:is>
          <x:t xml:space="preserve">2026-03</x:t>
        </x:is>
      </x:c>
      <x:c r="C27" s="4" t="str">
        <x:f>INDEX(Dim_Developers!$B:$B,MATCH($A27,Dim_Developers!$A:$A,0))</x:f>
        <x:v>Owen Brooks</x:v>
      </x:c>
      <x:c r="D27" s="4" t="str">
        <x:f>INDEX(Dim_Developers!$C:$C,MATCH($A27,Dim_Developers!$A:$A,0))</x:f>
        <x:v>MGR-03</x:v>
      </x:c>
      <x:c r="E27" s="4" t="str">
        <x:f>INDEX(Dim_Developers!$E:$E,MATCH($A27,Dim_Developers!$A:$A,0))</x:f>
        <x:v>Mobile Growth</x:v>
      </x:c>
      <x:c r="F27" s="4">
        <x:f>COUNTIFS(Fact_Jira_Issues!$B:$B,$A27,Fact_Jira_Issues!$N:$N,$B27,Fact_Jira_Issues!$M:$M,"Done")</x:f>
        <x:v>2</x:v>
      </x:c>
      <x:c r="G27" s="4">
        <x:f>COUNTIFS(Fact_Pull_Requests!$C:$C,$A27,Fact_Pull_Requests!$L:$L,$B27,Fact_Pull_Requests!$K:$K,"merged")</x:f>
        <x:v>2</x:v>
      </x:c>
      <x:c r="H27" s="4">
        <x:f>COUNTIFS(Fact_CI_Deployments!$D:$D,$A27,Fact_CI_Deployments!$L:$L,$B27,Fact_CI_Deployments!$H:$H,"prod",Fact_CI_Deployments!$K:$K,"success")</x:f>
        <x:v>2</x:v>
      </x:c>
      <x:c r="I27" s="4">
        <x:f>COUNTIFS(Fact_Bug_Reports!$C:$C,$A27,Fact_Bug_Reports!$K:$K,$B27,Fact_Bug_Reports!$I:$I,"Yes")</x:f>
        <x:v>1</x:v>
      </x:c>
      <x:c r="J27" s="19">
        <x:f>IF(F27=0,0,SUMIFS(Fact_Jira_Issues!$O:$O,Fact_Jira_Issues!$B:$B,$A27,Fact_Jira_Issues!$N:$N,$B27,Fact_Jira_Issues!$M:$M,"Done")/F27)</x:f>
        <x:v>4.550000000000001</x:v>
      </x:c>
      <x:c r="K27" s="19">
        <x:f>IF(H27=0,0,SUMIFS(Fact_CI_Deployments!$M:$M,Fact_CI_Deployments!$D:$D,$A27,Fact_CI_Deployments!$L:$L,$B27,Fact_CI_Deployments!$H:$H,"prod",Fact_CI_Deployments!$K:$K,"success")/H27)</x:f>
        <x:v>4.3</x:v>
      </x:c>
      <x:c r="L27" s="20">
        <x:f>IF(F27=0,0,I27/F27)</x:f>
        <x:v>0.5</x:v>
      </x:c>
      <x:c r="M27" s="4" t="str">
        <x:f>IF(AND(K27&gt;6,L27&gt;0.15),"Slow + quality risk",IF(AND(K27&gt;6,H27&lt;2),"Slow release loop",IF(AND(L27&gt;0.12,H27&gt;=2),"Quality watch",IF(AND(K27&lt;4.5,L27&lt;0.10),"Healthy flow","Needs review"))))</x:f>
        <x:v>Quality watch</x:v>
      </x:c>
      <x:c r="N27" s="4" t="str">
        <x:f>A27&amp;"|"&amp;B27</x:f>
        <x:v>DEV-007|2026-03</x:v>
      </x:c>
    </x:row>
    <x:row r="28" ht="22" customHeight="1">
      <x:c r="A28" s="4" t="inlineStr">
        <x:is>
          <x:t xml:space="preserve">DEV-007</x:t>
        </x:is>
      </x:c>
      <x:c r="B28" s="4" t="inlineStr">
        <x:is>
          <x:t xml:space="preserve">2026-04</x:t>
        </x:is>
      </x:c>
      <x:c r="C28" s="4" t="str">
        <x:f>INDEX(Dim_Developers!$B:$B,MATCH($A28,Dim_Developers!$A:$A,0))</x:f>
        <x:v>Owen Brooks</x:v>
      </x:c>
      <x:c r="D28" s="4" t="str">
        <x:f>INDEX(Dim_Developers!$C:$C,MATCH($A28,Dim_Developers!$A:$A,0))</x:f>
        <x:v>MGR-03</x:v>
      </x:c>
      <x:c r="E28" s="4" t="str">
        <x:f>INDEX(Dim_Developers!$E:$E,MATCH($A28,Dim_Developers!$A:$A,0))</x:f>
        <x:v>Mobile Growth</x:v>
      </x:c>
      <x:c r="F28" s="4">
        <x:f>COUNTIFS(Fact_Jira_Issues!$B:$B,$A28,Fact_Jira_Issues!$N:$N,$B28,Fact_Jira_Issues!$M:$M,"Done")</x:f>
        <x:v>2</x:v>
      </x:c>
      <x:c r="G28" s="4">
        <x:f>COUNTIFS(Fact_Pull_Requests!$C:$C,$A28,Fact_Pull_Requests!$L:$L,$B28,Fact_Pull_Requests!$K:$K,"merged")</x:f>
        <x:v>2</x:v>
      </x:c>
      <x:c r="H28" s="4">
        <x:f>COUNTIFS(Fact_CI_Deployments!$D:$D,$A28,Fact_CI_Deployments!$L:$L,$B28,Fact_CI_Deployments!$H:$H,"prod",Fact_CI_Deployments!$K:$K,"success")</x:f>
        <x:v>2</x:v>
      </x:c>
      <x:c r="I28" s="4">
        <x:f>COUNTIFS(Fact_Bug_Reports!$C:$C,$A28,Fact_Bug_Reports!$K:$K,$B28,Fact_Bug_Reports!$I:$I,"Yes")</x:f>
        <x:v>0</x:v>
      </x:c>
      <x:c r="J28" s="19">
        <x:f>IF(F28=0,0,SUMIFS(Fact_Jira_Issues!$O:$O,Fact_Jira_Issues!$B:$B,$A28,Fact_Jira_Issues!$N:$N,$B28,Fact_Jira_Issues!$M:$M,"Done")/F28)</x:f>
        <x:v>4.8</x:v>
      </x:c>
      <x:c r="K28" s="19">
        <x:f>IF(H28=0,0,SUMIFS(Fact_CI_Deployments!$M:$M,Fact_CI_Deployments!$D:$D,$A28,Fact_CI_Deployments!$L:$L,$B28,Fact_CI_Deployments!$H:$H,"prod",Fact_CI_Deployments!$K:$K,"success")/H28)</x:f>
        <x:v>3.65</x:v>
      </x:c>
      <x:c r="L28" s="20">
        <x:f>IF(F28=0,0,I28/F28)</x:f>
        <x:v>0</x:v>
      </x:c>
      <x:c r="M28" s="4" t="str">
        <x:f>IF(AND(K28&gt;6,L28&gt;0.15),"Slow + quality risk",IF(AND(K28&gt;6,H28&lt;2),"Slow release loop",IF(AND(L28&gt;0.12,H28&gt;=2),"Quality watch",IF(AND(K28&lt;4.5,L28&lt;0.10),"Healthy flow","Needs review"))))</x:f>
        <x:v>Healthy flow</x:v>
      </x:c>
      <x:c r="N28" s="4" t="str">
        <x:f>A28&amp;"|"&amp;B28</x:f>
        <x:v>DEV-007|2026-04</x:v>
      </x:c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8acede741d7a4cd0"/>
  <x:tableParts count="2">
    <x:tablePart xmlns:r="http://schemas.openxmlformats.org/officeDocument/2006/relationships" r:id="R8cee2bc3dd97418a"/>
    <x:tablePart xmlns:r="http://schemas.openxmlformats.org/officeDocument/2006/relationships" r:id="R72695f3bf3a74d6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8" customWidth="1"/>
    <x:col min="3" max="3" width="18" customWidth="1"/>
    <x:col min="4" max="4" width="22" customWidth="1"/>
    <x:col min="5" max="5" width="22" customWidth="1"/>
    <x:col min="6" max="6" width="22" customWidth="1"/>
  </x:cols>
  <x:sheetData>
    <x:row r="1">
      <x:c r="A1" s="1" t="inlineStr">
        <x:is>
          <x:t xml:space="preserve">IC Sample View</x:t>
        </x:is>
      </x:c>
    </x:row>
    <x:row r="2">
      <x:c r="A2" s="2" t="inlineStr">
        <x:is>
          <x:t xml:space="preserve">This is an example output style. You can design the product differently if your reasoning is clear.</x:t>
        </x:is>
      </x:c>
    </x:row>
    <x:row r="4">
      <x:c r="A4" s="9" t="inlineStr">
        <x:is>
          <x:t xml:space="preserve">Selected developer</x:t>
        </x:is>
      </x:c>
      <x:c r="B4" s="10" t="inlineStr">
        <x:is>
          <x:t xml:space="preserve">DEV-002</x:t>
        </x:is>
      </x:c>
    </x:row>
    <x:row r="5">
      <x:c r="A5" s="9" t="inlineStr">
        <x:is>
          <x:t xml:space="preserve">Selected month</x:t>
        </x:is>
      </x:c>
      <x:c r="B5" s="10" t="inlineStr">
        <x:is>
          <x:t xml:space="preserve">2026-04</x:t>
        </x:is>
      </x:c>
    </x:row>
    <x:row r="6">
      <x:c r="D6" s="5" t="inlineStr">
        <x:is>
          <x:t xml:space="preserve">Example interpretation</x:t>
        </x:is>
      </x:c>
    </x:row>
    <x:row r="7" ht="24" customHeight="1">
      <x:c r="A7" s="11" t="inlineStr">
        <x:is>
          <x:t xml:space="preserve">Developer name</x:t>
        </x:is>
      </x:c>
      <x:c r="B7" s="12" t="str">
        <x:f>INDEX(Dim_Developers!$B:$B,MATCH($B$4,Dim_Developers!$A:$A,0))</x:f>
        <x:v>Noah Patel</x:v>
      </x:c>
      <x:c r="D7" s="4" t="inlineStr">
        <x:is>
          <x:t xml:space="preserve">This developer can merge work, but the total time to reach production is still slower than ideal. The product should help the user ask what is causing that delay.</x:t>
        </x:is>
      </x:c>
    </x:row>
    <x:row r="8" ht="24" customHeight="1">
      <x:c r="A8" s="11" t="inlineStr">
        <x:is>
          <x:t xml:space="preserve">Team</x:t>
        </x:is>
      </x:c>
      <x:c r="B8" s="12" t="str">
        <x:f>INDEX(Dim_Developers!$E:$E,MATCH($B$4,Dim_Developers!$A:$A,0))</x:f>
        <x:v>Payments API</x:v>
      </x:c>
    </x:row>
    <x:row r="9" ht="24" customHeight="1">
      <x:c r="A9" s="11" t="inlineStr">
        <x:is>
          <x:t xml:space="preserve">Lead time (days)</x:t>
        </x:is>
      </x:c>
      <x:c r="B9" s="21">
        <x:f>IF(COUNTIFS(Fact_CI_Deployments!$D:$D,$B$4,Fact_CI_Deployments!$L:$L,$B$5,Fact_CI_Deployments!$H:$H,"prod",Fact_CI_Deployments!$K:$K,"success")=0,0,SUMIFS(Fact_CI_Deployments!$M:$M,Fact_CI_Deployments!$D:$D,$B$4,Fact_CI_Deployments!$L:$L,$B$5,Fact_CI_Deployments!$H:$H,"prod",Fact_CI_Deployments!$K:$K,"success")/COUNTIFS(Fact_CI_Deployments!$D:$D,$B$4,Fact_CI_Deployments!$L:$L,$B$5,Fact_CI_Deployments!$H:$H,"prod",Fact_CI_Deployments!$K:$K,"success"))</x:f>
        <x:v>3.75</x:v>
      </x:c>
      <x:c r="D9" s="5" t="inlineStr">
        <x:is>
          <x:t xml:space="preserve">Example next steps</x:t>
        </x:is>
      </x:c>
    </x:row>
    <x:row r="10" ht="24" customHeight="1">
      <x:c r="A10" s="11" t="inlineStr">
        <x:is>
          <x:t xml:space="preserve">Cycle time (days)</x:t>
        </x:is>
      </x:c>
      <x:c r="B10" s="21">
        <x:f>IF(COUNTIFS(Fact_Jira_Issues!$B:$B,$B$4,Fact_Jira_Issues!$N:$N,$B$5,Fact_Jira_Issues!$M:$M,"Done")=0,0,SUMIFS(Fact_Jira_Issues!$O:$O,Fact_Jira_Issues!$B:$B,$B$4,Fact_Jira_Issues!$N:$N,$B$5,Fact_Jira_Issues!$M:$M,"Done")/COUNTIFS(Fact_Jira_Issues!$B:$B,$B$4,Fact_Jira_Issues!$N:$N,$B$5,Fact_Jira_Issues!$M:$M,"Done"))</x:f>
        <x:v>5.4</x:v>
      </x:c>
      <x:c r="D10" s="4" t="inlineStr">
        <x:is>
          <x:t xml:space="preserve">1. Reduce PR size or ticket scope so feedback arrives faster.</x:t>
        </x:is>
      </x:c>
    </x:row>
    <x:row r="11" ht="24" customHeight="1">
      <x:c r="A11" s="11" t="inlineStr">
        <x:is>
          <x:t xml:space="preserve">PR throughput</x:t>
        </x:is>
      </x:c>
      <x:c r="B11" s="12">
        <x:f>COUNTIFS(Fact_Pull_Requests!$C:$C,$B$4,Fact_Pull_Requests!$L:$L,$B$5,Fact_Pull_Requests!$K:$K,"merged")</x:f>
        <x:v>2</x:v>
      </x:c>
      <x:c r="D11" s="4" t="inlineStr">
        <x:is>
          <x:t xml:space="preserve">2. Separate review delay from deployment delay before prescribing a fix.</x:t>
        </x:is>
      </x:c>
    </x:row>
    <x:row r="12" ht="24" customHeight="1">
      <x:c r="A12" s="11" t="inlineStr">
        <x:is>
          <x:t xml:space="preserve">Deployment frequency</x:t>
        </x:is>
      </x:c>
      <x:c r="B12" s="12">
        <x:f>COUNTIFS(Fact_CI_Deployments!$D:$D,$B$4,Fact_CI_Deployments!$L:$L,$B$5,Fact_CI_Deployments!$H:$H,"prod",Fact_CI_Deployments!$K:$K,"success")</x:f>
        <x:v>2</x:v>
      </x:c>
      <x:c r="D12" s="4" t="inlineStr">
        <x:is>
          <x:t xml:space="preserve">3. Add one quality safeguard if the bug rate rises.</x:t>
        </x:is>
      </x:c>
    </x:row>
    <x:row r="13" ht="24" customHeight="1">
      <x:c r="A13" s="11" t="inlineStr">
        <x:is>
          <x:t xml:space="preserve">Bug rate</x:t>
        </x:is>
      </x:c>
      <x:c r="B13" s="22">
        <x:f>IF(COUNTIFS(Fact_Jira_Issues!$B:$B,$B$4,Fact_Jira_Issues!$N:$N,$B$5,Fact_Jira_Issues!$M:$M,"Done")=0,0,COUNTIFS(Fact_Bug_Reports!$C:$C,$B$4,Fact_Bug_Reports!$K:$K,$B$5,Fact_Bug_Reports!$I:$I,"Yes")/COUNTIFS(Fact_Jira_Issues!$B:$B,$B$4,Fact_Jira_Issues!$N:$N,$B$5,Fact_Jira_Issues!$M:$M,"Done"))</x:f>
        <x:v>0.5</x:v>
      </x:c>
    </x:row>
    <x:row r="14" ht="24" customHeight="1">
      <x:c r="A14" s="11" t="inlineStr">
        <x:is>
          <x:t xml:space="preserve">Pattern hint</x:t>
        </x:is>
      </x:c>
      <x:c r="B14" s="12" t="str">
        <x:f>IF(AND(B9&gt;6,B13&gt;0.15),"Slow + quality risk",IF(AND(B9&gt;6,B12&lt;2),"Slow release loop",IF(AND(B13&gt;0.12,B12&gt;=2),"Quality watch",IF(AND(B9&lt;4.5,B13&lt;0.10),"Healthy flow","Needs review"))))</x:f>
        <x:v>Quality watch</x:v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2" customWidth="1"/>
    <x:col min="4" max="4" width="12" customWidth="1"/>
    <x:col min="5" max="5" width="14" customWidth="1"/>
    <x:col min="6" max="6" width="14" customWidth="1"/>
    <x:col min="7" max="7" width="14" customWidth="1"/>
    <x:col min="8" max="8" width="18" customWidth="1"/>
  </x:cols>
  <x:sheetData>
    <x:row r="1">
      <x:c r="A1" s="1" t="inlineStr">
        <x:is>
          <x:t xml:space="preserve">Manager Sample View</x:t>
        </x:is>
      </x:c>
    </x:row>
    <x:row r="2">
      <x:c r="A2" s="2" t="inlineStr">
        <x:is>
          <x:t xml:space="preserve">A manager view can be much lighter than the IC view. A simple summary table is enough.</x:t>
        </x:is>
      </x:c>
    </x:row>
    <x:row r="4" ht="28" customHeight="1">
      <x:c r="A4" s="3" t="inlineStr">
        <x:is>
          <x:t xml:space="preserve">manager_id</x:t>
        </x:is>
      </x:c>
      <x:c r="B4" s="3" t="inlineStr">
        <x:is>
          <x:t xml:space="preserve">manager_name</x:t>
        </x:is>
      </x:c>
      <x:c r="C4" s="3" t="inlineStr">
        <x:is>
          <x:t xml:space="preserve">month</x:t>
        </x:is>
      </x:c>
      <x:c r="D4" s="3" t="inlineStr">
        <x:is>
          <x:t xml:space="preserve">team_size</x:t>
        </x:is>
      </x:c>
      <x:c r="E4" s="3" t="inlineStr">
        <x:is>
          <x:t xml:space="preserve">avg_lead_time_days</x:t>
        </x:is>
      </x:c>
      <x:c r="F4" s="3" t="inlineStr">
        <x:is>
          <x:t xml:space="preserve">avg_cycle_time_days</x:t>
        </x:is>
      </x:c>
      <x:c r="G4" s="3" t="inlineStr">
        <x:is>
          <x:t xml:space="preserve">avg_bug_rate_pct</x:t>
        </x:is>
      </x:c>
      <x:c r="H4" s="3" t="inlineStr">
        <x:is>
          <x:t xml:space="preserve">signal</x:t>
        </x:is>
      </x:c>
    </x:row>
    <x:row r="5" ht="26" customHeight="1">
      <x:c r="A5" s="4" t="inlineStr">
        <x:is>
          <x:t xml:space="preserve">MGR-01</x:t>
        </x:is>
      </x:c>
      <x:c r="B5" s="4" t="inlineStr">
        <x:is>
          <x:t xml:space="preserve">Rina Kapoor</x:t>
        </x:is>
      </x:c>
      <x:c r="C5" s="4" t="inlineStr">
        <x:is>
          <x:t xml:space="preserve">2026-03</x:t>
        </x:is>
      </x:c>
      <x:c r="D5" s="4">
        <x:f>COUNTIFS(Dim_Developers!$C:$C,$A5)</x:f>
        <x:v>3</x:v>
      </x:c>
      <x:c r="E5" s="19">
        <x:f>IF(COUNTIFS(Fact_CI_Deployments!$F:$F,$A5,Fact_CI_Deployments!$L:$L,$C5,Fact_CI_Deployments!$H:$H,"prod",Fact_CI_Deployments!$K:$K,"success")=0,0,SUMIFS(Fact_CI_Deployments!$M:$M,Fact_CI_Deployments!$F:$F,$A5,Fact_CI_Deployments!$L:$L,$C5,Fact_CI_Deployments!$H:$H,"prod",Fact_CI_Deployments!$K:$K,"success")/COUNTIFS(Fact_CI_Deployments!$F:$F,$A5,Fact_CI_Deployments!$L:$L,$C5,Fact_CI_Deployments!$H:$H,"prod",Fact_CI_Deployments!$K:$K,"success"))</x:f>
        <x:v>3.016666666666667</x:v>
      </x:c>
      <x:c r="F5" s="19">
        <x:f>IF(COUNTIFS(Fact_Jira_Issues!$D:$D,$A5,Fact_Jira_Issues!$N:$N,$C5,Fact_Jira_Issues!$M:$M,"Done")=0,0,SUMIFS(Fact_Jira_Issues!$O:$O,Fact_Jira_Issues!$D:$D,$A5,Fact_Jira_Issues!$N:$N,$C5,Fact_Jira_Issues!$M:$M,"Done")/COUNTIFS(Fact_Jira_Issues!$D:$D,$A5,Fact_Jira_Issues!$N:$N,$C5,Fact_Jira_Issues!$M:$M,"Done"))</x:f>
        <x:v>4.533333333333334</x:v>
      </x:c>
      <x:c r="G5" s="20">
        <x:f>IF(COUNTIFS(Fact_Jira_Issues!$D:$D,$A5,Fact_Jira_Issues!$N:$N,$C5,Fact_Jira_Issues!$M:$M,"Done")=0,0,COUNTIFS(Fact_Bug_Reports!$E:$E,$A5,Fact_Bug_Reports!$K:$K,$C5,Fact_Bug_Reports!$I:$I,"Yes")/COUNTIFS(Fact_Jira_Issues!$D:$D,$A5,Fact_Jira_Issues!$N:$N,$C5,Fact_Jira_Issues!$M:$M,"Done"))</x:f>
        <x:v>0</x:v>
      </x:c>
      <x:c r="H5" s="4" t="str">
        <x:f>IF(AND(E5&lt;4.5,G5&lt;0.10),"Healthy flow",IF(AND(E5&gt;6,G5&gt;0.12),"Team needs help","Watch bottlenecks"))</x:f>
        <x:v>Healthy flow</x:v>
      </x:c>
    </x:row>
    <x:row r="6" ht="26" customHeight="1">
      <x:c r="A6" s="4" t="inlineStr">
        <x:is>
          <x:t xml:space="preserve">MGR-01</x:t>
        </x:is>
      </x:c>
      <x:c r="B6" s="4" t="inlineStr">
        <x:is>
          <x:t xml:space="preserve">Rina Kapoor</x:t>
        </x:is>
      </x:c>
      <x:c r="C6" s="4" t="inlineStr">
        <x:is>
          <x:t xml:space="preserve">2026-04</x:t>
        </x:is>
      </x:c>
      <x:c r="D6" s="4">
        <x:f>COUNTIFS(Dim_Developers!$C:$C,$A6)</x:f>
        <x:v>3</x:v>
      </x:c>
      <x:c r="E6" s="19">
        <x:f>IF(COUNTIFS(Fact_CI_Deployments!$F:$F,$A6,Fact_CI_Deployments!$L:$L,$C6,Fact_CI_Deployments!$H:$H,"prod",Fact_CI_Deployments!$K:$K,"success")=0,0,SUMIFS(Fact_CI_Deployments!$M:$M,Fact_CI_Deployments!$F:$F,$A6,Fact_CI_Deployments!$L:$L,$C6,Fact_CI_Deployments!$H:$H,"prod",Fact_CI_Deployments!$K:$K,"success")/COUNTIFS(Fact_CI_Deployments!$F:$F,$A6,Fact_CI_Deployments!$L:$L,$C6,Fact_CI_Deployments!$H:$H,"prod",Fact_CI_Deployments!$K:$K,"success"))</x:f>
        <x:v>3.15</x:v>
      </x:c>
      <x:c r="F6" s="19">
        <x:f>IF(COUNTIFS(Fact_Jira_Issues!$D:$D,$A6,Fact_Jira_Issues!$N:$N,$C6,Fact_Jira_Issues!$M:$M,"Done")=0,0,SUMIFS(Fact_Jira_Issues!$O:$O,Fact_Jira_Issues!$D:$D,$A6,Fact_Jira_Issues!$N:$N,$C6,Fact_Jira_Issues!$M:$M,"Done")/COUNTIFS(Fact_Jira_Issues!$D:$D,$A6,Fact_Jira_Issues!$N:$N,$C6,Fact_Jira_Issues!$M:$M,"Done"))</x:f>
        <x:v>4.333333333333333</x:v>
      </x:c>
      <x:c r="G6" s="20">
        <x:f>IF(COUNTIFS(Fact_Jira_Issues!$D:$D,$A6,Fact_Jira_Issues!$N:$N,$C6,Fact_Jira_Issues!$M:$M,"Done")=0,0,COUNTIFS(Fact_Bug_Reports!$E:$E,$A6,Fact_Bug_Reports!$K:$K,$C6,Fact_Bug_Reports!$I:$I,"Yes")/COUNTIFS(Fact_Jira_Issues!$D:$D,$A6,Fact_Jira_Issues!$N:$N,$C6,Fact_Jira_Issues!$M:$M,"Done"))</x:f>
        <x:v>0.3333333333333333</x:v>
      </x:c>
      <x:c r="H6" s="4" t="str">
        <x:f>IF(AND(E6&lt;4.5,G6&lt;0.10),"Healthy flow",IF(AND(E6&gt;6,G6&gt;0.12),"Team needs help","Watch bottlenecks"))</x:f>
        <x:v>Watch bottlenecks</x:v>
      </x:c>
    </x:row>
    <x:row r="7" ht="26" customHeight="1">
      <x:c r="A7" s="4" t="inlineStr">
        <x:is>
          <x:t xml:space="preserve">MGR-02</x:t>
        </x:is>
      </x:c>
      <x:c r="B7" s="4" t="inlineStr">
        <x:is>
          <x:t xml:space="preserve">Samir Gupta</x:t>
        </x:is>
      </x:c>
      <x:c r="C7" s="4" t="inlineStr">
        <x:is>
          <x:t xml:space="preserve">2026-03</x:t>
        </x:is>
      </x:c>
      <x:c r="D7" s="4">
        <x:f>COUNTIFS(Dim_Developers!$C:$C,$A7)</x:f>
        <x:v>3</x:v>
      </x:c>
      <x:c r="E7" s="19">
        <x:f>IF(COUNTIFS(Fact_CI_Deployments!$F:$F,$A7,Fact_CI_Deployments!$L:$L,$C7,Fact_CI_Deployments!$H:$H,"prod",Fact_CI_Deployments!$K:$K,"success")=0,0,SUMIFS(Fact_CI_Deployments!$M:$M,Fact_CI_Deployments!$F:$F,$A7,Fact_CI_Deployments!$L:$L,$C7,Fact_CI_Deployments!$H:$H,"prod",Fact_CI_Deployments!$K:$K,"success")/COUNTIFS(Fact_CI_Deployments!$F:$F,$A7,Fact_CI_Deployments!$L:$L,$C7,Fact_CI_Deployments!$H:$H,"prod",Fact_CI_Deployments!$K:$K,"success"))</x:f>
        <x:v>3.033333333333333</x:v>
      </x:c>
      <x:c r="F7" s="19">
        <x:f>IF(COUNTIFS(Fact_Jira_Issues!$D:$D,$A7,Fact_Jira_Issues!$N:$N,$C7,Fact_Jira_Issues!$M:$M,"Done")=0,0,SUMIFS(Fact_Jira_Issues!$O:$O,Fact_Jira_Issues!$D:$D,$A7,Fact_Jira_Issues!$N:$N,$C7,Fact_Jira_Issues!$M:$M,"Done")/COUNTIFS(Fact_Jira_Issues!$D:$D,$A7,Fact_Jira_Issues!$N:$N,$C7,Fact_Jira_Issues!$M:$M,"Done"))</x:f>
        <x:v>3.9000000000000004</x:v>
      </x:c>
      <x:c r="G7" s="20">
        <x:f>IF(COUNTIFS(Fact_Jira_Issues!$D:$D,$A7,Fact_Jira_Issues!$N:$N,$C7,Fact_Jira_Issues!$M:$M,"Done")=0,0,COUNTIFS(Fact_Bug_Reports!$E:$E,$A7,Fact_Bug_Reports!$K:$K,$C7,Fact_Bug_Reports!$I:$I,"Yes")/COUNTIFS(Fact_Jira_Issues!$D:$D,$A7,Fact_Jira_Issues!$N:$N,$C7,Fact_Jira_Issues!$M:$M,"Done"))</x:f>
        <x:v>0.16666666666666666</x:v>
      </x:c>
      <x:c r="H7" s="4" t="str">
        <x:f>IF(AND(E7&lt;4.5,G7&lt;0.10),"Healthy flow",IF(AND(E7&gt;6,G7&gt;0.12),"Team needs help","Watch bottlenecks"))</x:f>
        <x:v>Watch bottlenecks</x:v>
      </x:c>
    </x:row>
    <x:row r="8" ht="26" customHeight="1">
      <x:c r="A8" s="4" t="inlineStr">
        <x:is>
          <x:t xml:space="preserve">MGR-02</x:t>
        </x:is>
      </x:c>
      <x:c r="B8" s="4" t="inlineStr">
        <x:is>
          <x:t xml:space="preserve">Samir Gupta</x:t>
        </x:is>
      </x:c>
      <x:c r="C8" s="4" t="inlineStr">
        <x:is>
          <x:t xml:space="preserve">2026-04</x:t>
        </x:is>
      </x:c>
      <x:c r="D8" s="4">
        <x:f>COUNTIFS(Dim_Developers!$C:$C,$A8)</x:f>
        <x:v>3</x:v>
      </x:c>
      <x:c r="E8" s="19">
        <x:f>IF(COUNTIFS(Fact_CI_Deployments!$F:$F,$A8,Fact_CI_Deployments!$L:$L,$C8,Fact_CI_Deployments!$H:$H,"prod",Fact_CI_Deployments!$K:$K,"success")=0,0,SUMIFS(Fact_CI_Deployments!$M:$M,Fact_CI_Deployments!$F:$F,$A8,Fact_CI_Deployments!$L:$L,$C8,Fact_CI_Deployments!$H:$H,"prod",Fact_CI_Deployments!$K:$K,"success")/COUNTIFS(Fact_CI_Deployments!$F:$F,$A8,Fact_CI_Deployments!$L:$L,$C8,Fact_CI_Deployments!$H:$H,"prod",Fact_CI_Deployments!$K:$K,"success"))</x:f>
        <x:v>3.283333333333333</x:v>
      </x:c>
      <x:c r="F8" s="19">
        <x:f>IF(COUNTIFS(Fact_Jira_Issues!$D:$D,$A8,Fact_Jira_Issues!$N:$N,$C8,Fact_Jira_Issues!$M:$M,"Done")=0,0,SUMIFS(Fact_Jira_Issues!$O:$O,Fact_Jira_Issues!$D:$D,$A8,Fact_Jira_Issues!$N:$N,$C8,Fact_Jira_Issues!$M:$M,"Done")/COUNTIFS(Fact_Jira_Issues!$D:$D,$A8,Fact_Jira_Issues!$N:$N,$C8,Fact_Jira_Issues!$M:$M,"Done"))</x:f>
        <x:v>3.483333333333334</x:v>
      </x:c>
      <x:c r="G8" s="20">
        <x:f>IF(COUNTIFS(Fact_Jira_Issues!$D:$D,$A8,Fact_Jira_Issues!$N:$N,$C8,Fact_Jira_Issues!$M:$M,"Done")=0,0,COUNTIFS(Fact_Bug_Reports!$E:$E,$A8,Fact_Bug_Reports!$K:$K,$C8,Fact_Bug_Reports!$I:$I,"Yes")/COUNTIFS(Fact_Jira_Issues!$D:$D,$A8,Fact_Jira_Issues!$N:$N,$C8,Fact_Jira_Issues!$M:$M,"Done"))</x:f>
        <x:v>0.16666666666666666</x:v>
      </x:c>
      <x:c r="H8" s="4" t="str">
        <x:f>IF(AND(E8&lt;4.5,G8&lt;0.10),"Healthy flow",IF(AND(E8&gt;6,G8&gt;0.12),"Team needs help","Watch bottlenecks"))</x:f>
        <x:v>Watch bottlenecks</x:v>
      </x:c>
    </x:row>
    <x:row r="9" ht="26" customHeight="1">
      <x:c r="A9" s="4" t="inlineStr">
        <x:is>
          <x:t xml:space="preserve">MGR-03</x:t>
        </x:is>
      </x:c>
      <x:c r="B9" s="4" t="inlineStr">
        <x:is>
          <x:t xml:space="preserve">Priya Nair</x:t>
        </x:is>
      </x:c>
      <x:c r="C9" s="4" t="inlineStr">
        <x:is>
          <x:t xml:space="preserve">2026-03</x:t>
        </x:is>
      </x:c>
      <x:c r="D9" s="4">
        <x:f>COUNTIFS(Dim_Developers!$C:$C,$A9)</x:f>
        <x:v>2</x:v>
      </x:c>
      <x:c r="E9" s="19">
        <x:f>IF(COUNTIFS(Fact_CI_Deployments!$F:$F,$A9,Fact_CI_Deployments!$L:$L,$C9,Fact_CI_Deployments!$H:$H,"prod",Fact_CI_Deployments!$K:$K,"success")=0,0,SUMIFS(Fact_CI_Deployments!$M:$M,Fact_CI_Deployments!$F:$F,$A9,Fact_CI_Deployments!$L:$L,$C9,Fact_CI_Deployments!$H:$H,"prod",Fact_CI_Deployments!$K:$K,"success")/COUNTIFS(Fact_CI_Deployments!$F:$F,$A9,Fact_CI_Deployments!$L:$L,$C9,Fact_CI_Deployments!$H:$H,"prod",Fact_CI_Deployments!$K:$K,"success"))</x:f>
        <x:v>4.625</x:v>
      </x:c>
      <x:c r="F9" s="19">
        <x:f>IF(COUNTIFS(Fact_Jira_Issues!$D:$D,$A9,Fact_Jira_Issues!$N:$N,$C9,Fact_Jira_Issues!$M:$M,"Done")=0,0,SUMIFS(Fact_Jira_Issues!$O:$O,Fact_Jira_Issues!$D:$D,$A9,Fact_Jira_Issues!$N:$N,$C9,Fact_Jira_Issues!$M:$M,"Done")/COUNTIFS(Fact_Jira_Issues!$D:$D,$A9,Fact_Jira_Issues!$N:$N,$C9,Fact_Jira_Issues!$M:$M,"Done"))</x:f>
        <x:v>5.25</x:v>
      </x:c>
      <x:c r="G9" s="20">
        <x:f>IF(COUNTIFS(Fact_Jira_Issues!$D:$D,$A9,Fact_Jira_Issues!$N:$N,$C9,Fact_Jira_Issues!$M:$M,"Done")=0,0,COUNTIFS(Fact_Bug_Reports!$E:$E,$A9,Fact_Bug_Reports!$K:$K,$C9,Fact_Bug_Reports!$I:$I,"Yes")/COUNTIFS(Fact_Jira_Issues!$D:$D,$A9,Fact_Jira_Issues!$N:$N,$C9,Fact_Jira_Issues!$M:$M,"Done"))</x:f>
        <x:v>0.5</x:v>
      </x:c>
      <x:c r="H9" s="4" t="str">
        <x:f>IF(AND(E9&lt;4.5,G9&lt;0.10),"Healthy flow",IF(AND(E9&gt;6,G9&gt;0.12),"Team needs help","Watch bottlenecks"))</x:f>
        <x:v>Watch bottlenecks</x:v>
      </x:c>
    </x:row>
    <x:row r="10" ht="26" customHeight="1">
      <x:c r="A10" s="4" t="inlineStr">
        <x:is>
          <x:t xml:space="preserve">MGR-03</x:t>
        </x:is>
      </x:c>
      <x:c r="B10" s="4" t="inlineStr">
        <x:is>
          <x:t xml:space="preserve">Priya Nair</x:t>
        </x:is>
      </x:c>
      <x:c r="C10" s="4" t="inlineStr">
        <x:is>
          <x:t xml:space="preserve">2026-04</x:t>
        </x:is>
      </x:c>
      <x:c r="D10" s="4">
        <x:f>COUNTIFS(Dim_Developers!$C:$C,$A10)</x:f>
        <x:v>2</x:v>
      </x:c>
      <x:c r="E10" s="19">
        <x:f>IF(COUNTIFS(Fact_CI_Deployments!$F:$F,$A10,Fact_CI_Deployments!$L:$L,$C10,Fact_CI_Deployments!$H:$H,"prod",Fact_CI_Deployments!$K:$K,"success")=0,0,SUMIFS(Fact_CI_Deployments!$M:$M,Fact_CI_Deployments!$F:$F,$A10,Fact_CI_Deployments!$L:$L,$C10,Fact_CI_Deployments!$H:$H,"prod",Fact_CI_Deployments!$K:$K,"success")/COUNTIFS(Fact_CI_Deployments!$F:$F,$A10,Fact_CI_Deployments!$L:$L,$C10,Fact_CI_Deployments!$H:$H,"prod",Fact_CI_Deployments!$K:$K,"success"))</x:f>
        <x:v>4.175</x:v>
      </x:c>
      <x:c r="F10" s="19">
        <x:f>IF(COUNTIFS(Fact_Jira_Issues!$D:$D,$A10,Fact_Jira_Issues!$N:$N,$C10,Fact_Jira_Issues!$M:$M,"Done")=0,0,SUMIFS(Fact_Jira_Issues!$O:$O,Fact_Jira_Issues!$D:$D,$A10,Fact_Jira_Issues!$N:$N,$C10,Fact_Jira_Issues!$M:$M,"Done")/COUNTIFS(Fact_Jira_Issues!$D:$D,$A10,Fact_Jira_Issues!$N:$N,$C10,Fact_Jira_Issues!$M:$M,"Done"))</x:f>
        <x:v>5.65</x:v>
      </x:c>
      <x:c r="G10" s="20">
        <x:f>IF(COUNTIFS(Fact_Jira_Issues!$D:$D,$A10,Fact_Jira_Issues!$N:$N,$C10,Fact_Jira_Issues!$M:$M,"Done")=0,0,COUNTIFS(Fact_Bug_Reports!$E:$E,$A10,Fact_Bug_Reports!$K:$K,$C10,Fact_Bug_Reports!$I:$I,"Yes")/COUNTIFS(Fact_Jira_Issues!$D:$D,$A10,Fact_Jira_Issues!$N:$N,$C10,Fact_Jira_Issues!$M:$M,"Done"))</x:f>
        <x:v>0</x:v>
      </x:c>
      <x:c r="H10" s="4" t="str">
        <x:f>IF(AND(E10&lt;4.5,G10&lt;0.10),"Healthy flow",IF(AND(E10&gt;6,G10&gt;0.12),"Team needs help","Watch bottlenecks"))</x:f>
        <x:v>Healthy flow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659c33131b4438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60" customWidth="1"/>
    <x:col min="3" max="3" width="12" customWidth="1"/>
  </x:cols>
  <x:sheetData>
    <x:row r="1">
      <x:c r="A1" s="1" t="inlineStr">
        <x:is>
          <x:t xml:space="preserve">Evaluation Rubric</x:t>
        </x:is>
      </x:c>
    </x:row>
    <x:row r="2">
      <x:c r="A2" s="2" t="inlineStr">
        <x:is>
          <x:t xml:space="preserve">This is for the reviewer, but candidates can also read it to understand what matters.</x:t>
        </x:is>
      </x:c>
    </x:row>
    <x:row r="3" ht="28" customHeight="1">
      <x:c r="A3" s="3" t="inlineStr">
        <x:is>
          <x:t xml:space="preserve">Category</x:t>
        </x:is>
      </x:c>
      <x:c r="B3" s="3" t="inlineStr">
        <x:is>
          <x:t xml:space="preserve">What good looks like</x:t>
        </x:is>
      </x:c>
      <x:c r="C3" s="3" t="inlineStr">
        <x:is>
          <x:t xml:space="preserve">Weight</x:t>
        </x:is>
      </x:c>
    </x:row>
    <x:row r="4" ht="28" customHeight="1">
      <x:c r="A4" s="3" t="n"/>
      <x:c r="B4" s="3" t="n"/>
      <x:c r="C4" s="3" t="n"/>
    </x:row>
    <x:row r="5" ht="34" customHeight="1">
      <x:c r="A5" s="4" t="inlineStr">
        <x:is>
          <x:t xml:space="preserve">Problem understanding</x:t>
        </x:is>
      </x:c>
      <x:c r="B5" s="4" t="inlineStr">
        <x:is>
          <x:t xml:space="preserve">Explains the developer problem clearly and chooses a sensible scope.</x:t>
        </x:is>
      </x:c>
      <x:c r="C5" s="4" t="inlineStr">
        <x:is>
          <x:t xml:space="preserve">20%</x:t>
        </x:is>
      </x:c>
    </x:row>
    <x:row r="6" ht="34" customHeight="1">
      <x:c r="A6" s="4" t="inlineStr">
        <x:is>
          <x:t xml:space="preserve">Product thinking</x:t>
        </x:is>
      </x:c>
      <x:c r="B6" s="4" t="inlineStr">
        <x:is>
          <x:t xml:space="preserve">Shows a coherent user journey and useful reasoning, not just charts.</x:t>
        </x:is>
      </x:c>
      <x:c r="C6" s="4" t="inlineStr">
        <x:is>
          <x:t xml:space="preserve">20%</x:t>
        </x:is>
      </x:c>
    </x:row>
    <x:row r="7" ht="34" customHeight="1">
      <x:c r="A7" s="4" t="inlineStr">
        <x:is>
          <x:t xml:space="preserve">Frontend quality</x:t>
        </x:is>
      </x:c>
      <x:c r="B7" s="4" t="inlineStr">
        <x:is>
          <x:t xml:space="preserve">React app is clear, usable, and easy to follow.</x:t>
        </x:is>
      </x:c>
      <x:c r="C7" s="4" t="inlineStr">
        <x:is>
          <x:t xml:space="preserve">15%</x:t>
        </x:is>
      </x:c>
    </x:row>
    <x:row r="8" ht="34" customHeight="1">
      <x:c r="A8" s="4" t="inlineStr">
        <x:is>
          <x:t xml:space="preserve">Backend / data handling</x:t>
        </x:is>
      </x:c>
      <x:c r="B8" s="4" t="inlineStr">
        <x:is>
          <x:t xml:space="preserve">Uses the sample data sensibly and keeps the implementation simple.</x:t>
        </x:is>
      </x:c>
      <x:c r="C8" s="4" t="inlineStr">
        <x:is>
          <x:t xml:space="preserve">15%</x:t>
        </x:is>
      </x:c>
    </x:row>
    <x:row r="9" ht="34" customHeight="1">
      <x:c r="A9" s="4" t="inlineStr">
        <x:is>
          <x:t xml:space="preserve">Communication</x:t>
        </x:is>
      </x:c>
      <x:c r="B9" s="4" t="inlineStr">
        <x:is>
          <x:t xml:space="preserve">Video is clear, structured, and understandable.</x:t>
        </x:is>
      </x:c>
      <x:c r="C9" s="4" t="inlineStr">
        <x:is>
          <x:t xml:space="preserve">15%</x:t>
        </x:is>
      </x:c>
    </x:row>
    <x:row r="10" ht="34" customHeight="1">
      <x:c r="A10" s="4" t="inlineStr">
        <x:is>
          <x:t xml:space="preserve">AI usage discipline</x:t>
        </x:is>
      </x:c>
      <x:c r="B10" s="4" t="inlineStr">
        <x:is>
          <x:t xml:space="preserve">Used AI well without losing originality or understanding.</x:t>
        </x:is>
      </x:c>
      <x:c r="C10" s="4" t="inlineStr">
        <x:is>
          <x:t xml:space="preserve">15%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aad862a1241343d2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10" customWidth="1"/>
    <x:col min="4" max="4" width="12" customWidth="1"/>
    <x:col min="5" max="5" width="50" customWidth="1"/>
  </x:cols>
  <x:sheetData>
    <x:row r="1">
      <x:c r="A1" s="1" t="inlineStr">
        <x:is>
          <x:t xml:space="preserve">Reviewer Scorecard</x:t>
        </x:is>
      </x:c>
    </x:row>
    <x:row r="2">
      <x:c r="A2" s="2" t="inlineStr">
        <x:is>
          <x:t xml:space="preserve">Enter scores from 1 to 5. Weighted total calculates automatically.</x:t>
        </x:is>
      </x:c>
    </x:row>
    <x:row r="4">
      <x:c r="A4" s="15" t="inlineStr">
        <x:is>
          <x:t xml:space="preserve">Candidate name</x:t>
        </x:is>
      </x:c>
      <x:c r="C4" s="15" t="inlineStr">
        <x:is>
          <x:t xml:space="preserve">Reviewer</x:t>
        </x:is>
      </x:c>
    </x:row>
    <x:row r="6" ht="28" customHeight="1">
      <x:c r="A6" s="3" t="inlineStr">
        <x:is>
          <x:t xml:space="preserve">Category</x:t>
        </x:is>
      </x:c>
      <x:c r="B6" s="3" t="inlineStr">
        <x:is>
          <x:t xml:space="preserve">Weight</x:t>
        </x:is>
      </x:c>
      <x:c r="C6" s="3" t="inlineStr">
        <x:is>
          <x:t xml:space="preserve">Score (1-5)</x:t>
        </x:is>
      </x:c>
      <x:c r="D6" s="3" t="inlineStr">
        <x:is>
          <x:t xml:space="preserve">Weighted score</x:t>
        </x:is>
      </x:c>
      <x:c r="E6" s="3" t="inlineStr">
        <x:is>
          <x:t xml:space="preserve">Notes</x:t>
        </x:is>
      </x:c>
    </x:row>
    <x:row r="7" ht="24" customHeight="1">
      <x:c r="A7" s="4" t="inlineStr">
        <x:is>
          <x:t xml:space="preserve">Problem understanding</x:t>
        </x:is>
      </x:c>
      <x:c r="B7" s="16" t="n">
        <x:v>0.2</x:v>
      </x:c>
      <x:c r="C7" s="4" t="n"/>
      <x:c r="D7" s="4">
        <x:f>B7*C7</x:f>
        <x:v>0</x:v>
      </x:c>
      <x:c r="E7" s="4" t="n"/>
    </x:row>
    <x:row r="8" ht="24" customHeight="1">
      <x:c r="A8" s="4" t="inlineStr">
        <x:is>
          <x:t xml:space="preserve">Product thinking</x:t>
        </x:is>
      </x:c>
      <x:c r="B8" s="16" t="n">
        <x:v>0.2</x:v>
      </x:c>
      <x:c r="C8" s="4" t="n"/>
      <x:c r="D8" s="4">
        <x:f>B8*C8</x:f>
        <x:v>0</x:v>
      </x:c>
      <x:c r="E8" s="4" t="n"/>
    </x:row>
    <x:row r="9" ht="24" customHeight="1">
      <x:c r="A9" s="4" t="inlineStr">
        <x:is>
          <x:t xml:space="preserve">Frontend quality</x:t>
        </x:is>
      </x:c>
      <x:c r="B9" s="16" t="n">
        <x:v>0.15</x:v>
      </x:c>
      <x:c r="C9" s="4" t="n"/>
      <x:c r="D9" s="4">
        <x:f>B9*C9</x:f>
        <x:v>0</x:v>
      </x:c>
      <x:c r="E9" s="4" t="n"/>
    </x:row>
    <x:row r="10" ht="24" customHeight="1">
      <x:c r="A10" s="4" t="inlineStr">
        <x:is>
          <x:t xml:space="preserve">Backend / data handling</x:t>
        </x:is>
      </x:c>
      <x:c r="B10" s="16" t="n">
        <x:v>0.15</x:v>
      </x:c>
      <x:c r="C10" s="4" t="n"/>
      <x:c r="D10" s="4">
        <x:f>B10*C10</x:f>
        <x:v>0</x:v>
      </x:c>
      <x:c r="E10" s="4" t="n"/>
    </x:row>
    <x:row r="11" ht="24" customHeight="1">
      <x:c r="A11" s="4" t="inlineStr">
        <x:is>
          <x:t xml:space="preserve">Communication</x:t>
        </x:is>
      </x:c>
      <x:c r="B11" s="16" t="n">
        <x:v>0.15</x:v>
      </x:c>
      <x:c r="C11" s="4" t="n"/>
      <x:c r="D11" s="4">
        <x:f>B11*C11</x:f>
        <x:v>0</x:v>
      </x:c>
      <x:c r="E11" s="4" t="n"/>
    </x:row>
    <x:row r="12" ht="24" customHeight="1">
      <x:c r="A12" s="4" t="inlineStr">
        <x:is>
          <x:t xml:space="preserve">AI usage discipline</x:t>
        </x:is>
      </x:c>
      <x:c r="B12" s="16" t="n">
        <x:v>0.15</x:v>
      </x:c>
      <x:c r="C12" s="4" t="n"/>
      <x:c r="D12" s="4">
        <x:f>B12*C12</x:f>
        <x:v>0</x:v>
      </x:c>
      <x:c r="E12" s="4" t="n"/>
    </x:row>
    <x:row r="13" ht="24" customHeight="1">
      <x:c r="A13" s="17" t="inlineStr">
        <x:is>
          <x:t xml:space="preserve">Total</x:t>
        </x:is>
      </x:c>
      <x:c r="B13" s="4" t="n"/>
      <x:c r="C13" s="4" t="n"/>
      <x:c r="D13" s="17">
        <x:f>SUM(D7:D12)</x:f>
        <x:v>0</x:v>
      </x:c>
      <x:c r="E13" s="4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5fe51357071f410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72" customWidth="1"/>
  </x:cols>
  <x:sheetData>
    <x:row r="1">
      <x:c r="A1" s="1" t="inlineStr">
        <x:is>
          <x:t xml:space="preserve">Reviewer Guide</x:t>
        </x:is>
      </x:c>
    </x:row>
    <x:row r="2">
      <x:c r="A2" s="2" t="inlineStr">
        <x:is>
          <x:t xml:space="preserve">Use this to keep interviews aligned.</x:t>
        </x:is>
      </x:c>
    </x:row>
    <x:row r="3" ht="28" customHeight="1">
      <x:c r="A3" s="3" t="inlineStr">
        <x:is>
          <x:t xml:space="preserve">Prompt</x:t>
        </x:is>
      </x:c>
      <x:c r="B3" s="3" t="inlineStr">
        <x:is>
          <x:t xml:space="preserve">What to listen for</x:t>
        </x:is>
      </x:c>
    </x:row>
    <x:row r="4" ht="28" customHeight="1">
      <x:c r="A4" s="3" t="n"/>
      <x:c r="B4" s="3" t="n"/>
    </x:row>
    <x:row r="5" ht="34" customHeight="1">
      <x:c r="A5" s="4" t="inlineStr">
        <x:is>
          <x:t xml:space="preserve">Can the candidate explain the problem in plain English?</x:t>
        </x:is>
      </x:c>
      <x:c r="B5" s="4" t="inlineStr">
        <x:is>
          <x:t xml:space="preserve">They should explain the user problem before talking about the tech stack.</x:t>
        </x:is>
      </x:c>
    </x:row>
    <x:row r="6" ht="34" customHeight="1">
      <x:c r="A6" s="4" t="inlineStr">
        <x:is>
          <x:t xml:space="preserve">Did the candidate choose a reasonable MVP?</x:t>
        </x:is>
      </x:c>
      <x:c r="B6" s="4" t="inlineStr">
        <x:is>
          <x:t xml:space="preserve">A thoughtful small solution should score better than an unfinished big idea.</x:t>
        </x:is>
      </x:c>
    </x:row>
    <x:row r="7" ht="34" customHeight="1">
      <x:c r="A7" s="4" t="inlineStr">
        <x:is>
          <x:t xml:space="preserve">Do they understand the metrics?</x:t>
        </x:is>
      </x:c>
      <x:c r="B7" s="4" t="inlineStr">
        <x:is>
          <x:t xml:space="preserve">They should know what they calculated and why it matters.</x:t>
        </x:is>
      </x:c>
    </x:row>
    <x:row r="8" ht="34" customHeight="1">
      <x:c r="A8" s="4" t="inlineStr">
        <x:is>
          <x:t xml:space="preserve">Can they explain their code and AI use?</x:t>
        </x:is>
      </x:c>
      <x:c r="B8" s="4" t="inlineStr">
        <x:is>
          <x:t xml:space="preserve">AI use is fine, but they must understand what they built.</x:t>
        </x:is>
      </x:c>
    </x:row>
    <x:row r="9" ht="34" customHeight="1">
      <x:c r="A9" s="4" t="inlineStr">
        <x:is>
          <x:t xml:space="preserve">Does the product feel helpful?</x:t>
        </x:is>
      </x:c>
      <x:c r="B9" s="4" t="inlineStr">
        <x:is>
          <x:t xml:space="preserve">The product should guide a developer, not only report numbers.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1c1df948ddf84cc3"/>
  </x:tableParts>
</x:worksheet>
</file>